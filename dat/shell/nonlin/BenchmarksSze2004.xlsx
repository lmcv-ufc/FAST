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dro/Documents/FAST/FASTv2.4.3/dat/shell/nonlin/"/>
    </mc:Choice>
  </mc:AlternateContent>
  <xr:revisionPtr revIDLastSave="0" documentId="13_ncr:1_{E4894623-4437-F441-B7BE-9E0C1B9B03F3}" xr6:coauthVersionLast="47" xr6:coauthVersionMax="47" xr10:uidLastSave="{00000000-0000-0000-0000-000000000000}"/>
  <bookViews>
    <workbookView xWindow="260" yWindow="460" windowWidth="27560" windowHeight="16620" activeTab="5" xr2:uid="{0BDB42A0-1906-D841-9253-293B742CD49A}"/>
  </bookViews>
  <sheets>
    <sheet name="CantileverForce" sheetId="3" r:id="rId1"/>
    <sheet name="CantileverMoment" sheetId="1" r:id="rId2"/>
    <sheet name="SlitAnnularPlate" sheetId="10" r:id="rId3"/>
    <sheet name="Hemisphere" sheetId="5" r:id="rId4"/>
    <sheet name="PullOutCylinder" sheetId="6" r:id="rId5"/>
    <sheet name="PinchedCylinder" sheetId="13" r:id="rId6"/>
    <sheet name="PinchedSemiCylinder" sheetId="8" r:id="rId7"/>
    <sheet name="CylindricalRoof" sheetId="9" r:id="rId8"/>
  </sheets>
  <definedNames>
    <definedName name="A">PullOutCylinder!$XFD$82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3" l="1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42" i="10"/>
  <c r="G42" i="10"/>
  <c r="H38" i="10"/>
  <c r="G38" i="10"/>
  <c r="H34" i="10"/>
  <c r="G34" i="10"/>
  <c r="H30" i="10"/>
  <c r="G30" i="10"/>
  <c r="H26" i="10"/>
  <c r="G26" i="10"/>
  <c r="H22" i="10"/>
  <c r="G22" i="10"/>
  <c r="H18" i="10"/>
  <c r="G18" i="10"/>
  <c r="H14" i="10"/>
  <c r="G14" i="10"/>
  <c r="H10" i="10"/>
  <c r="G10" i="10"/>
  <c r="H6" i="10"/>
  <c r="G6" i="10"/>
  <c r="C110" i="1"/>
  <c r="B110" i="1"/>
  <c r="C109" i="1"/>
  <c r="B109" i="1"/>
  <c r="J26" i="6"/>
  <c r="K26" i="6"/>
  <c r="I26" i="6"/>
  <c r="J18" i="6"/>
  <c r="K18" i="6"/>
  <c r="I18" i="6"/>
  <c r="J10" i="6"/>
  <c r="K10" i="6"/>
  <c r="I10" i="6"/>
  <c r="J34" i="6"/>
  <c r="K34" i="6"/>
  <c r="I34" i="6"/>
  <c r="J50" i="6"/>
  <c r="K50" i="6"/>
  <c r="K42" i="6"/>
  <c r="J42" i="6"/>
  <c r="I42" i="6"/>
  <c r="I50" i="6"/>
  <c r="J58" i="6"/>
  <c r="K58" i="6"/>
  <c r="I58" i="6"/>
  <c r="J66" i="6"/>
  <c r="K66" i="6"/>
  <c r="I66" i="6"/>
  <c r="J74" i="6"/>
  <c r="K74" i="6"/>
  <c r="I74" i="6"/>
  <c r="K82" i="6"/>
  <c r="J82" i="6"/>
  <c r="I82" i="6"/>
  <c r="H40" i="3"/>
  <c r="H36" i="3"/>
  <c r="H32" i="3"/>
  <c r="H28" i="3"/>
  <c r="H24" i="3"/>
  <c r="H20" i="3"/>
  <c r="H16" i="3"/>
  <c r="H12" i="3"/>
  <c r="G16" i="3"/>
  <c r="G12" i="3"/>
  <c r="G20" i="3"/>
  <c r="G24" i="3"/>
  <c r="G28" i="3"/>
  <c r="G32" i="3"/>
  <c r="G36" i="3"/>
  <c r="G40" i="3"/>
  <c r="H44" i="3"/>
  <c r="G44" i="3"/>
  <c r="H48" i="3"/>
  <c r="G48" i="3"/>
  <c r="G100" i="1"/>
  <c r="G90" i="1"/>
  <c r="G80" i="1"/>
  <c r="G70" i="1"/>
  <c r="G60" i="1"/>
  <c r="G50" i="1"/>
  <c r="G40" i="1"/>
  <c r="G30" i="1"/>
  <c r="G20" i="1"/>
  <c r="F20" i="1"/>
  <c r="F30" i="1"/>
  <c r="F40" i="1"/>
  <c r="F50" i="1"/>
  <c r="F60" i="1"/>
  <c r="F70" i="1"/>
  <c r="F80" i="1"/>
  <c r="F90" i="1"/>
  <c r="F100" i="1"/>
  <c r="G42" i="5"/>
  <c r="G38" i="5"/>
  <c r="G34" i="5"/>
  <c r="G30" i="5"/>
  <c r="G26" i="5"/>
  <c r="G22" i="5"/>
  <c r="G18" i="5"/>
  <c r="G14" i="5"/>
  <c r="G10" i="5"/>
  <c r="G6" i="5"/>
  <c r="H6" i="5"/>
  <c r="H10" i="5"/>
  <c r="H14" i="5"/>
  <c r="H18" i="5"/>
  <c r="H22" i="5"/>
  <c r="H26" i="5"/>
  <c r="H30" i="5"/>
  <c r="H34" i="5"/>
  <c r="H38" i="5"/>
  <c r="H42" i="5"/>
  <c r="E14" i="8"/>
  <c r="E26" i="8"/>
  <c r="E30" i="8"/>
  <c r="E38" i="8"/>
  <c r="E34" i="8"/>
  <c r="E18" i="8"/>
  <c r="E22" i="8"/>
  <c r="E10" i="8"/>
  <c r="E6" i="8"/>
  <c r="E42" i="8"/>
  <c r="B4" i="3"/>
  <c r="B4" i="1"/>
  <c r="B5" i="1"/>
  <c r="B6" i="1" s="1"/>
  <c r="C12" i="1" s="1"/>
  <c r="B104" i="1" l="1"/>
  <c r="B80" i="1"/>
  <c r="B56" i="1"/>
  <c r="C62" i="1"/>
  <c r="B101" i="1"/>
  <c r="B93" i="1"/>
  <c r="B85" i="1"/>
  <c r="B77" i="1"/>
  <c r="B69" i="1"/>
  <c r="B61" i="1"/>
  <c r="B53" i="1"/>
  <c r="B37" i="1"/>
  <c r="B21" i="1"/>
  <c r="C106" i="1"/>
  <c r="C90" i="1"/>
  <c r="C74" i="1"/>
  <c r="C58" i="1"/>
  <c r="C42" i="1"/>
  <c r="C26" i="1"/>
  <c r="B96" i="1"/>
  <c r="B64" i="1"/>
  <c r="B25" i="1"/>
  <c r="C78" i="1"/>
  <c r="C30" i="1"/>
  <c r="B108" i="1"/>
  <c r="B100" i="1"/>
  <c r="B92" i="1"/>
  <c r="B84" i="1"/>
  <c r="B76" i="1"/>
  <c r="B68" i="1"/>
  <c r="B60" i="1"/>
  <c r="B49" i="1"/>
  <c r="B33" i="1"/>
  <c r="B17" i="1"/>
  <c r="C102" i="1"/>
  <c r="C86" i="1"/>
  <c r="C70" i="1"/>
  <c r="C54" i="1"/>
  <c r="C38" i="1"/>
  <c r="C22" i="1"/>
  <c r="B88" i="1"/>
  <c r="B72" i="1"/>
  <c r="B41" i="1"/>
  <c r="C94" i="1"/>
  <c r="C46" i="1"/>
  <c r="B105" i="1"/>
  <c r="B97" i="1"/>
  <c r="B89" i="1"/>
  <c r="B81" i="1"/>
  <c r="B73" i="1"/>
  <c r="B65" i="1"/>
  <c r="B57" i="1"/>
  <c r="B45" i="1"/>
  <c r="B29" i="1"/>
  <c r="B13" i="1"/>
  <c r="C98" i="1"/>
  <c r="C82" i="1"/>
  <c r="C66" i="1"/>
  <c r="C50" i="1"/>
  <c r="C34" i="1"/>
  <c r="C18" i="1"/>
  <c r="B52" i="1"/>
  <c r="B48" i="1"/>
  <c r="B44" i="1"/>
  <c r="B40" i="1"/>
  <c r="B36" i="1"/>
  <c r="B32" i="1"/>
  <c r="B28" i="1"/>
  <c r="B24" i="1"/>
  <c r="B20" i="1"/>
  <c r="B16" i="1"/>
  <c r="B12" i="1"/>
  <c r="C105" i="1"/>
  <c r="C101" i="1"/>
  <c r="C97" i="1"/>
  <c r="C93" i="1"/>
  <c r="C89" i="1"/>
  <c r="C85" i="1"/>
  <c r="C81" i="1"/>
  <c r="C77" i="1"/>
  <c r="C73" i="1"/>
  <c r="C69" i="1"/>
  <c r="C65" i="1"/>
  <c r="C61" i="1"/>
  <c r="C57" i="1"/>
  <c r="C53" i="1"/>
  <c r="C49" i="1"/>
  <c r="C45" i="1"/>
  <c r="C41" i="1"/>
  <c r="C37" i="1"/>
  <c r="C33" i="1"/>
  <c r="C29" i="1"/>
  <c r="C25" i="1"/>
  <c r="C21" i="1"/>
  <c r="C17" i="1"/>
  <c r="F110" i="1"/>
  <c r="B106" i="1"/>
  <c r="B102" i="1"/>
  <c r="B98" i="1"/>
  <c r="B94" i="1"/>
  <c r="B90" i="1"/>
  <c r="B86" i="1"/>
  <c r="B82" i="1"/>
  <c r="B78" i="1"/>
  <c r="B74" i="1"/>
  <c r="B70" i="1"/>
  <c r="B66" i="1"/>
  <c r="B62" i="1"/>
  <c r="B58" i="1"/>
  <c r="B54" i="1"/>
  <c r="B50" i="1"/>
  <c r="B46" i="1"/>
  <c r="B42" i="1"/>
  <c r="B38" i="1"/>
  <c r="B34" i="1"/>
  <c r="B30" i="1"/>
  <c r="B26" i="1"/>
  <c r="B22" i="1"/>
  <c r="B18" i="1"/>
  <c r="B14" i="1"/>
  <c r="C11" i="1"/>
  <c r="C107" i="1"/>
  <c r="C103" i="1"/>
  <c r="C99" i="1"/>
  <c r="C95" i="1"/>
  <c r="C91" i="1"/>
  <c r="C87" i="1"/>
  <c r="C83" i="1"/>
  <c r="C79" i="1"/>
  <c r="C75" i="1"/>
  <c r="C71" i="1"/>
  <c r="C67" i="1"/>
  <c r="C63" i="1"/>
  <c r="C59" i="1"/>
  <c r="C55" i="1"/>
  <c r="C51" i="1"/>
  <c r="C47" i="1"/>
  <c r="C43" i="1"/>
  <c r="C39" i="1"/>
  <c r="C35" i="1"/>
  <c r="C31" i="1"/>
  <c r="C27" i="1"/>
  <c r="C23" i="1"/>
  <c r="C19" i="1"/>
  <c r="C15" i="1"/>
  <c r="C14" i="1"/>
  <c r="C13" i="1"/>
  <c r="B107" i="1"/>
  <c r="B103" i="1"/>
  <c r="B99" i="1"/>
  <c r="B95" i="1"/>
  <c r="B91" i="1"/>
  <c r="B87" i="1"/>
  <c r="B83" i="1"/>
  <c r="B79" i="1"/>
  <c r="B75" i="1"/>
  <c r="B71" i="1"/>
  <c r="B67" i="1"/>
  <c r="B63" i="1"/>
  <c r="B59" i="1"/>
  <c r="B55" i="1"/>
  <c r="B51" i="1"/>
  <c r="B47" i="1"/>
  <c r="B43" i="1"/>
  <c r="B39" i="1"/>
  <c r="B35" i="1"/>
  <c r="B31" i="1"/>
  <c r="B27" i="1"/>
  <c r="B23" i="1"/>
  <c r="B19" i="1"/>
  <c r="B15" i="1"/>
  <c r="B11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C28" i="1"/>
  <c r="C24" i="1"/>
  <c r="C20" i="1"/>
  <c r="C16" i="1"/>
</calcChain>
</file>

<file path=xl/sharedStrings.xml><?xml version="1.0" encoding="utf-8"?>
<sst xmlns="http://schemas.openxmlformats.org/spreadsheetml/2006/main" count="77" uniqueCount="46">
  <si>
    <t>EI</t>
  </si>
  <si>
    <t>L</t>
  </si>
  <si>
    <t>Mo</t>
  </si>
  <si>
    <t>u</t>
  </si>
  <si>
    <t>LF</t>
  </si>
  <si>
    <t>u_Q8_10</t>
  </si>
  <si>
    <t>w_Q8_10</t>
  </si>
  <si>
    <t>Mnl</t>
  </si>
  <si>
    <t>Mlin</t>
  </si>
  <si>
    <t>wlin</t>
  </si>
  <si>
    <t>Plin</t>
  </si>
  <si>
    <t>u_Sze</t>
  </si>
  <si>
    <t>v_Sze</t>
  </si>
  <si>
    <t>LF_Q8_10</t>
  </si>
  <si>
    <t>LF_Sze</t>
  </si>
  <si>
    <t>wA_Sze</t>
  </si>
  <si>
    <t>wB_Sze</t>
  </si>
  <si>
    <t>LF_Q8</t>
  </si>
  <si>
    <t>wA_Q8</t>
  </si>
  <si>
    <t>wB_Q8</t>
  </si>
  <si>
    <t>uB_Sze</t>
  </si>
  <si>
    <t>uB_Q8</t>
  </si>
  <si>
    <t>uC_Sze</t>
  </si>
  <si>
    <t>uC_Q8</t>
  </si>
  <si>
    <t>h = 12.7</t>
  </si>
  <si>
    <t>wC_Sze</t>
  </si>
  <si>
    <t>P_Sze</t>
  </si>
  <si>
    <t>P_Q8</t>
  </si>
  <si>
    <t>wC_Q8</t>
  </si>
  <si>
    <t>h =6.35</t>
  </si>
  <si>
    <t>wA_Sze/100</t>
  </si>
  <si>
    <t>Dif_wA</t>
  </si>
  <si>
    <t>Dif_uB</t>
  </si>
  <si>
    <t>Dif_u</t>
  </si>
  <si>
    <t>Dif_v</t>
  </si>
  <si>
    <t>Dif_w</t>
  </si>
  <si>
    <t>Dif_wB</t>
  </si>
  <si>
    <t>Dif_uC</t>
  </si>
  <si>
    <t>w</t>
  </si>
  <si>
    <t xml:space="preserve"> </t>
  </si>
  <si>
    <t>LF_Q8R</t>
  </si>
  <si>
    <t>wA_Q8R</t>
  </si>
  <si>
    <t>uB_Q8R</t>
  </si>
  <si>
    <t>uB_Q8F</t>
  </si>
  <si>
    <t>LF_S8R</t>
  </si>
  <si>
    <t>wA_S8R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</si>
</sst>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"/>
    <numFmt numFmtId="167" formatCode="0.000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1" xfId="0" applyFont="1" applyBorder="1"/>
    <xf numFmtId="165" fontId="0" fillId="0" borderId="1" xfId="0" applyNumberFormat="1" applyBorder="1" applyAlignment="1">
      <alignment horizontal="center"/>
    </xf>
    <xf numFmtId="0" fontId="1" fillId="3" borderId="1" xfId="0" applyFont="1" applyFill="1" applyBorder="1"/>
    <xf numFmtId="0" fontId="1" fillId="2" borderId="1" xfId="0" applyFont="1" applyFill="1" applyBorder="1"/>
    <xf numFmtId="165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1" fontId="0" fillId="0" borderId="0" xfId="0" applyNumberFormat="1"/>
    <xf numFmtId="166" fontId="0" fillId="0" borderId="23" xfId="0" applyNumberForma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65" fontId="0" fillId="4" borderId="5" xfId="0" applyNumberFormat="1" applyFill="1" applyBorder="1" applyAlignment="1">
      <alignment horizontal="center"/>
    </xf>
    <xf numFmtId="166" fontId="0" fillId="4" borderId="6" xfId="0" applyNumberFormat="1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0" fontId="0" fillId="5" borderId="0" xfId="1" applyNumberFormat="1" applyFont="1" applyFill="1" applyAlignment="1">
      <alignment horizontal="center"/>
    </xf>
    <xf numFmtId="167" fontId="0" fillId="0" borderId="0" xfId="0" applyNumberFormat="1"/>
    <xf numFmtId="167" fontId="0" fillId="0" borderId="2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6" borderId="20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CantileverForce!$B$8:$B$28</c:f>
              <c:numCache>
                <c:formatCode>0.000</c:formatCode>
                <c:ptCount val="21"/>
                <c:pt idx="0">
                  <c:v>0</c:v>
                </c:pt>
                <c:pt idx="1">
                  <c:v>2.5999999999999999E-2</c:v>
                </c:pt>
                <c:pt idx="2">
                  <c:v>0.10299999999999999</c:v>
                </c:pt>
                <c:pt idx="3">
                  <c:v>0.224</c:v>
                </c:pt>
                <c:pt idx="4">
                  <c:v>0.38100000000000001</c:v>
                </c:pt>
                <c:pt idx="5">
                  <c:v>0.56299999999999994</c:v>
                </c:pt>
                <c:pt idx="6">
                  <c:v>0.76300000000000001</c:v>
                </c:pt>
                <c:pt idx="7">
                  <c:v>0.97099999999999997</c:v>
                </c:pt>
                <c:pt idx="8">
                  <c:v>1.1839999999999999</c:v>
                </c:pt>
                <c:pt idx="9">
                  <c:v>1.3959999999999999</c:v>
                </c:pt>
                <c:pt idx="10">
                  <c:v>1.6040000000000001</c:v>
                </c:pt>
                <c:pt idx="11">
                  <c:v>1.8069999999999999</c:v>
                </c:pt>
                <c:pt idx="12">
                  <c:v>2.0019999999999998</c:v>
                </c:pt>
                <c:pt idx="13">
                  <c:v>2.19</c:v>
                </c:pt>
                <c:pt idx="14">
                  <c:v>2.37</c:v>
                </c:pt>
                <c:pt idx="15">
                  <c:v>2.5409999999999999</c:v>
                </c:pt>
                <c:pt idx="16">
                  <c:v>2.7050000000000001</c:v>
                </c:pt>
                <c:pt idx="17">
                  <c:v>2.8610000000000002</c:v>
                </c:pt>
                <c:pt idx="18">
                  <c:v>3.01</c:v>
                </c:pt>
                <c:pt idx="19">
                  <c:v>3.1509999999999998</c:v>
                </c:pt>
                <c:pt idx="20">
                  <c:v>3.286</c:v>
                </c:pt>
              </c:numCache>
            </c:numRef>
          </c:xVal>
          <c:yVal>
            <c:numRef>
              <c:f>CantileverForce!$A$8:$A$28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30-7F4A-A6EF-F1831D3ADEFB}"/>
            </c:ext>
          </c:extLst>
        </c:ser>
        <c:ser>
          <c:idx val="1"/>
          <c:order val="1"/>
          <c:tx>
            <c:v>w_Sze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CantileverForce!$C$8:$C$28</c:f>
              <c:numCache>
                <c:formatCode>0.000</c:formatCode>
                <c:ptCount val="21"/>
                <c:pt idx="0">
                  <c:v>0</c:v>
                </c:pt>
                <c:pt idx="1">
                  <c:v>0.66300000000000003</c:v>
                </c:pt>
                <c:pt idx="2">
                  <c:v>1.3089999999999999</c:v>
                </c:pt>
                <c:pt idx="3">
                  <c:v>1.9219999999999999</c:v>
                </c:pt>
                <c:pt idx="4">
                  <c:v>2.4929999999999999</c:v>
                </c:pt>
                <c:pt idx="5">
                  <c:v>3.0150000000000001</c:v>
                </c:pt>
                <c:pt idx="6">
                  <c:v>3.488</c:v>
                </c:pt>
                <c:pt idx="7">
                  <c:v>3.9119999999999999</c:v>
                </c:pt>
                <c:pt idx="8">
                  <c:v>4.2919999999999998</c:v>
                </c:pt>
                <c:pt idx="9">
                  <c:v>4.6310000000000002</c:v>
                </c:pt>
                <c:pt idx="10">
                  <c:v>4.9329999999999998</c:v>
                </c:pt>
                <c:pt idx="11">
                  <c:v>5.202</c:v>
                </c:pt>
                <c:pt idx="12">
                  <c:v>5.444</c:v>
                </c:pt>
                <c:pt idx="13">
                  <c:v>5.66</c:v>
                </c:pt>
                <c:pt idx="14">
                  <c:v>5.8550000000000004</c:v>
                </c:pt>
                <c:pt idx="15">
                  <c:v>6.0309999999999997</c:v>
                </c:pt>
                <c:pt idx="16">
                  <c:v>6.19</c:v>
                </c:pt>
                <c:pt idx="17">
                  <c:v>6.335</c:v>
                </c:pt>
                <c:pt idx="18">
                  <c:v>6.4669999999999996</c:v>
                </c:pt>
                <c:pt idx="19">
                  <c:v>6.5880000000000001</c:v>
                </c:pt>
                <c:pt idx="20">
                  <c:v>6.6980000000000004</c:v>
                </c:pt>
              </c:numCache>
            </c:numRef>
          </c:xVal>
          <c:yVal>
            <c:numRef>
              <c:f>CantileverForce!$A$8:$A$28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B30-7F4A-A6EF-F1831D3ADEFB}"/>
            </c:ext>
          </c:extLst>
        </c:ser>
        <c:ser>
          <c:idx val="2"/>
          <c:order val="2"/>
          <c:tx>
            <c:v>u_Q8_10x1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CantileverForce!$E$8:$E$48</c:f>
              <c:numCache>
                <c:formatCode>0.00000</c:formatCode>
                <c:ptCount val="41"/>
                <c:pt idx="0">
                  <c:v>0</c:v>
                </c:pt>
                <c:pt idx="1">
                  <c:v>6.6547899999999998E-3</c:v>
                </c:pt>
                <c:pt idx="2">
                  <c:v>2.6468599999999998E-2</c:v>
                </c:pt>
                <c:pt idx="3">
                  <c:v>5.9000900000000002E-2</c:v>
                </c:pt>
                <c:pt idx="4">
                  <c:v>0.10355200000000001</c:v>
                </c:pt>
                <c:pt idx="5">
                  <c:v>0.15920899999999999</c:v>
                </c:pt>
                <c:pt idx="6">
                  <c:v>0.22490399999999999</c:v>
                </c:pt>
                <c:pt idx="7">
                  <c:v>0.29947099999999999</c:v>
                </c:pt>
                <c:pt idx="8">
                  <c:v>0.38170300000000001</c:v>
                </c:pt>
                <c:pt idx="9">
                  <c:v>0.47039900000000001</c:v>
                </c:pt>
                <c:pt idx="10">
                  <c:v>0.56440400000000002</c:v>
                </c:pt>
                <c:pt idx="11">
                  <c:v>0.66263399999999995</c:v>
                </c:pt>
                <c:pt idx="12">
                  <c:v>0.76410199999999995</c:v>
                </c:pt>
                <c:pt idx="13">
                  <c:v>0.86791700000000005</c:v>
                </c:pt>
                <c:pt idx="14">
                  <c:v>0.97329600000000005</c:v>
                </c:pt>
                <c:pt idx="15">
                  <c:v>1.0795600000000001</c:v>
                </c:pt>
                <c:pt idx="16">
                  <c:v>1.1861200000000001</c:v>
                </c:pt>
                <c:pt idx="17">
                  <c:v>1.2924899999999999</c:v>
                </c:pt>
                <c:pt idx="18">
                  <c:v>1.3982399999999999</c:v>
                </c:pt>
                <c:pt idx="19">
                  <c:v>1.50305</c:v>
                </c:pt>
                <c:pt idx="20">
                  <c:v>1.6066400000000001</c:v>
                </c:pt>
                <c:pt idx="21">
                  <c:v>1.7087699999999999</c:v>
                </c:pt>
                <c:pt idx="22">
                  <c:v>1.8092900000000001</c:v>
                </c:pt>
                <c:pt idx="23">
                  <c:v>1.90804</c:v>
                </c:pt>
                <c:pt idx="24">
                  <c:v>2.0049299999999999</c:v>
                </c:pt>
                <c:pt idx="25">
                  <c:v>2.0998800000000002</c:v>
                </c:pt>
                <c:pt idx="26">
                  <c:v>2.19286</c:v>
                </c:pt>
                <c:pt idx="27">
                  <c:v>2.28382</c:v>
                </c:pt>
                <c:pt idx="28">
                  <c:v>2.37276</c:v>
                </c:pt>
                <c:pt idx="29">
                  <c:v>2.45967</c:v>
                </c:pt>
                <c:pt idx="30">
                  <c:v>2.5445700000000002</c:v>
                </c:pt>
                <c:pt idx="31">
                  <c:v>2.6274799999999998</c:v>
                </c:pt>
                <c:pt idx="32">
                  <c:v>2.7084299999999999</c:v>
                </c:pt>
                <c:pt idx="33">
                  <c:v>2.7874400000000001</c:v>
                </c:pt>
                <c:pt idx="34">
                  <c:v>2.86456</c:v>
                </c:pt>
                <c:pt idx="35">
                  <c:v>2.9398300000000002</c:v>
                </c:pt>
                <c:pt idx="36">
                  <c:v>3.01329</c:v>
                </c:pt>
                <c:pt idx="37">
                  <c:v>3.0849799999999998</c:v>
                </c:pt>
                <c:pt idx="38">
                  <c:v>3.1549499999999999</c:v>
                </c:pt>
                <c:pt idx="39">
                  <c:v>3.2232400000000001</c:v>
                </c:pt>
                <c:pt idx="40">
                  <c:v>3.2899099999999999</c:v>
                </c:pt>
              </c:numCache>
            </c:numRef>
          </c:xVal>
          <c:yVal>
            <c:numRef>
              <c:f>CantileverForce!$D$8:$D$48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B30-7F4A-A6EF-F1831D3ADEFB}"/>
            </c:ext>
          </c:extLst>
        </c:ser>
        <c:ser>
          <c:idx val="3"/>
          <c:order val="3"/>
          <c:tx>
            <c:v>w_Q8_10x1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CantileverForce!$F$8:$F$48</c:f>
              <c:numCache>
                <c:formatCode>0.00000</c:formatCode>
                <c:ptCount val="41"/>
                <c:pt idx="0">
                  <c:v>0</c:v>
                </c:pt>
                <c:pt idx="1">
                  <c:v>0.33297300000000002</c:v>
                </c:pt>
                <c:pt idx="2">
                  <c:v>0.66368499999999997</c:v>
                </c:pt>
                <c:pt idx="3">
                  <c:v>0.98996700000000004</c:v>
                </c:pt>
                <c:pt idx="4">
                  <c:v>1.30983</c:v>
                </c:pt>
                <c:pt idx="5">
                  <c:v>1.6215299999999999</c:v>
                </c:pt>
                <c:pt idx="6">
                  <c:v>1.9236200000000001</c:v>
                </c:pt>
                <c:pt idx="7">
                  <c:v>2.21495</c:v>
                </c:pt>
                <c:pt idx="8">
                  <c:v>2.4946700000000002</c:v>
                </c:pt>
                <c:pt idx="9">
                  <c:v>2.7622499999999999</c:v>
                </c:pt>
                <c:pt idx="10">
                  <c:v>3.0173999999999999</c:v>
                </c:pt>
                <c:pt idx="11">
                  <c:v>3.2600600000000002</c:v>
                </c:pt>
                <c:pt idx="12">
                  <c:v>3.4903400000000002</c:v>
                </c:pt>
                <c:pt idx="13">
                  <c:v>3.7084999999999999</c:v>
                </c:pt>
                <c:pt idx="14">
                  <c:v>3.91493</c:v>
                </c:pt>
                <c:pt idx="15">
                  <c:v>4.1100700000000003</c:v>
                </c:pt>
                <c:pt idx="16">
                  <c:v>4.2944300000000002</c:v>
                </c:pt>
                <c:pt idx="17">
                  <c:v>4.4685499999999996</c:v>
                </c:pt>
                <c:pt idx="18">
                  <c:v>4.6329799999999999</c:v>
                </c:pt>
                <c:pt idx="19">
                  <c:v>4.7882600000000002</c:v>
                </c:pt>
                <c:pt idx="20">
                  <c:v>4.9349499999999997</c:v>
                </c:pt>
                <c:pt idx="21">
                  <c:v>5.0735599999999996</c:v>
                </c:pt>
                <c:pt idx="22">
                  <c:v>5.2046099999999997</c:v>
                </c:pt>
                <c:pt idx="23">
                  <c:v>5.32857</c:v>
                </c:pt>
                <c:pt idx="24">
                  <c:v>5.4459</c:v>
                </c:pt>
                <c:pt idx="25">
                  <c:v>5.5570399999999998</c:v>
                </c:pt>
                <c:pt idx="26">
                  <c:v>5.6623900000000003</c:v>
                </c:pt>
                <c:pt idx="27">
                  <c:v>5.7623300000000004</c:v>
                </c:pt>
                <c:pt idx="28">
                  <c:v>5.8571999999999997</c:v>
                </c:pt>
                <c:pt idx="29">
                  <c:v>5.9473399999999996</c:v>
                </c:pt>
                <c:pt idx="30">
                  <c:v>6.0330599999999999</c:v>
                </c:pt>
                <c:pt idx="31">
                  <c:v>6.11463</c:v>
                </c:pt>
                <c:pt idx="32">
                  <c:v>6.1923199999999996</c:v>
                </c:pt>
                <c:pt idx="33">
                  <c:v>6.2663900000000003</c:v>
                </c:pt>
                <c:pt idx="34">
                  <c:v>6.33704</c:v>
                </c:pt>
                <c:pt idx="35">
                  <c:v>6.4045100000000001</c:v>
                </c:pt>
                <c:pt idx="36">
                  <c:v>6.4689699999999997</c:v>
                </c:pt>
                <c:pt idx="37">
                  <c:v>6.5306199999999999</c:v>
                </c:pt>
                <c:pt idx="38">
                  <c:v>6.58962</c:v>
                </c:pt>
                <c:pt idx="39">
                  <c:v>6.6461300000000003</c:v>
                </c:pt>
                <c:pt idx="40">
                  <c:v>6.7003000000000004</c:v>
                </c:pt>
              </c:numCache>
            </c:numRef>
          </c:xVal>
          <c:yVal>
            <c:numRef>
              <c:f>CantileverForce!$D$8:$D$48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B30-7F4A-A6EF-F1831D3AD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u, 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u_exact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CantileverMoment!$B$10:$B$110</c:f>
              <c:numCache>
                <c:formatCode>0.00000</c:formatCode>
                <c:ptCount val="101"/>
                <c:pt idx="0">
                  <c:v>0</c:v>
                </c:pt>
                <c:pt idx="1">
                  <c:v>6.5784376015876056E-3</c:v>
                </c:pt>
                <c:pt idx="2">
                  <c:v>2.6298172274964449E-2</c:v>
                </c:pt>
                <c:pt idx="3">
                  <c:v>5.9112513541487166E-2</c:v>
                </c:pt>
                <c:pt idx="4">
                  <c:v>0.10494379018691546</c:v>
                </c:pt>
                <c:pt idx="5">
                  <c:v>0.16368356916534044</c:v>
                </c:pt>
                <c:pt idx="6">
                  <c:v>0.23519296112344268</c:v>
                </c:pt>
                <c:pt idx="7">
                  <c:v>0.31930301160762009</c:v>
                </c:pt>
                <c:pt idx="8">
                  <c:v>0.41581517675375101</c:v>
                </c:pt>
                <c:pt idx="9">
                  <c:v>0.52450188200056869</c:v>
                </c:pt>
                <c:pt idx="10">
                  <c:v>0.64510716211360841</c:v>
                </c:pt>
                <c:pt idx="11">
                  <c:v>0.77734738055803887</c:v>
                </c:pt>
                <c:pt idx="12">
                  <c:v>0.92091202601649269</c:v>
                </c:pt>
                <c:pt idx="13">
                  <c:v>1.0754645836129384</c:v>
                </c:pt>
                <c:pt idx="14">
                  <c:v>1.240643478176251</c:v>
                </c:pt>
                <c:pt idx="15">
                  <c:v>1.4160630866586021</c:v>
                </c:pt>
                <c:pt idx="16">
                  <c:v>1.6013148166142965</c:v>
                </c:pt>
                <c:pt idx="17">
                  <c:v>1.795968247445362</c:v>
                </c:pt>
                <c:pt idx="18">
                  <c:v>1.9995723309312918</c:v>
                </c:pt>
                <c:pt idx="19">
                  <c:v>2.2116566473827861</c:v>
                </c:pt>
                <c:pt idx="20">
                  <c:v>2.4317327135934299</c:v>
                </c:pt>
                <c:pt idx="21">
                  <c:v>2.659295338609744</c:v>
                </c:pt>
                <c:pt idx="22">
                  <c:v>2.8938240231991474</c:v>
                </c:pt>
                <c:pt idx="23">
                  <c:v>3.1347843987678923</c:v>
                </c:pt>
                <c:pt idx="24">
                  <c:v>3.3816297013669985</c:v>
                </c:pt>
                <c:pt idx="25">
                  <c:v>3.633802276324186</c:v>
                </c:pt>
                <c:pt idx="26">
                  <c:v>3.8907351089541518</c:v>
                </c:pt>
                <c:pt idx="27">
                  <c:v>4.1518533767282042</c:v>
                </c:pt>
                <c:pt idx="28">
                  <c:v>4.4165760182279001</c:v>
                </c:pt>
                <c:pt idx="29">
                  <c:v>4.6843173141656758</c:v>
                </c:pt>
                <c:pt idx="30">
                  <c:v>4.9544884757289527</c:v>
                </c:pt>
                <c:pt idx="31">
                  <c:v>5.2264992354926747</c:v>
                </c:pt>
                <c:pt idx="32">
                  <c:v>5.4997594361488522</c:v>
                </c:pt>
                <c:pt idx="33">
                  <c:v>5.7736806123203372</c:v>
                </c:pt>
                <c:pt idx="34">
                  <c:v>6.0476775607596682</c:v>
                </c:pt>
                <c:pt idx="35">
                  <c:v>6.3211698942822583</c:v>
                </c:pt>
                <c:pt idx="36">
                  <c:v>6.5935835748463205</c:v>
                </c:pt>
                <c:pt idx="37">
                  <c:v>6.8643524212694107</c:v>
                </c:pt>
                <c:pt idx="38">
                  <c:v>7.1329195871631024</c:v>
                </c:pt>
                <c:pt idx="39">
                  <c:v>7.3987390047727786</c:v>
                </c:pt>
                <c:pt idx="40">
                  <c:v>7.6612767905284018</c:v>
                </c:pt>
                <c:pt idx="41">
                  <c:v>7.9200126082440274</c:v>
                </c:pt>
                <c:pt idx="42">
                  <c:v>8.1744409860483334</c:v>
                </c:pt>
                <c:pt idx="43">
                  <c:v>8.4240725832849606</c:v>
                </c:pt>
                <c:pt idx="44">
                  <c:v>8.6684354037895588</c:v>
                </c:pt>
                <c:pt idx="45">
                  <c:v>8.9070759521294818</c:v>
                </c:pt>
                <c:pt idx="46">
                  <c:v>9.1395603295814709</c:v>
                </c:pt>
                <c:pt idx="47">
                  <c:v>9.3654752668217967</c:v>
                </c:pt>
                <c:pt idx="48">
                  <c:v>9.5844290905114562</c:v>
                </c:pt>
                <c:pt idx="49">
                  <c:v>9.7960526211755408</c:v>
                </c:pt>
                <c:pt idx="50">
                  <c:v>10</c:v>
                </c:pt>
                <c:pt idx="51">
                  <c:v>10.19594944239997</c:v>
                </c:pt>
                <c:pt idx="52">
                  <c:v>10.383603916450962</c:v>
                </c:pt>
                <c:pt idx="53">
                  <c:v>10.562691744516519</c:v>
                </c:pt>
                <c:pt idx="54">
                  <c:v>10.732967126652822</c:v>
                </c:pt>
                <c:pt idx="55">
                  <c:v>10.894210584621334</c:v>
                </c:pt>
                <c:pt idx="56">
                  <c:v>11.046229325593917</c:v>
                </c:pt>
                <c:pt idx="57">
                  <c:v>11.188857524890292</c:v>
                </c:pt>
                <c:pt idx="58">
                  <c:v>11.321956527344311</c:v>
                </c:pt>
                <c:pt idx="59">
                  <c:v>11.445414967152454</c:v>
                </c:pt>
                <c:pt idx="60">
                  <c:v>11.559148806314399</c:v>
                </c:pt>
                <c:pt idx="61">
                  <c:v>11.663101292030518</c:v>
                </c:pt>
                <c:pt idx="62">
                  <c:v>11.757242833674226</c:v>
                </c:pt>
                <c:pt idx="63">
                  <c:v>11.841570800206853</c:v>
                </c:pt>
                <c:pt idx="64">
                  <c:v>11.916109239148945</c:v>
                </c:pt>
                <c:pt idx="65">
                  <c:v>11.9809085184634</c:v>
                </c:pt>
                <c:pt idx="66">
                  <c:v>12.036044892941987</c:v>
                </c:pt>
                <c:pt idx="67">
                  <c:v>12.081619996916848</c:v>
                </c:pt>
                <c:pt idx="68">
                  <c:v>12.117760265341717</c:v>
                </c:pt>
                <c:pt idx="69">
                  <c:v>12.144616285503291</c:v>
                </c:pt>
                <c:pt idx="70">
                  <c:v>12.162362081830448</c:v>
                </c:pt>
                <c:pt idx="71">
                  <c:v>12.171194336467542</c:v>
                </c:pt>
                <c:pt idx="72">
                  <c:v>12.171331548466927</c:v>
                </c:pt>
                <c:pt idx="73">
                  <c:v>12.163013134634772</c:v>
                </c:pt>
                <c:pt idx="74">
                  <c:v>12.146498475232326</c:v>
                </c:pt>
                <c:pt idx="75">
                  <c:v>12.122065907891937</c:v>
                </c:pt>
                <c:pt idx="76">
                  <c:v>12.090011673252528</c:v>
                </c:pt>
                <c:pt idx="77">
                  <c:v>12.050648815952448</c:v>
                </c:pt>
                <c:pt idx="78">
                  <c:v>12.004306044738701</c:v>
                </c:pt>
                <c:pt idx="79">
                  <c:v>11.951326555559433</c:v>
                </c:pt>
                <c:pt idx="80">
                  <c:v>11.892066821601643</c:v>
                </c:pt>
                <c:pt idx="81">
                  <c:v>11.826895354317617</c:v>
                </c:pt>
                <c:pt idx="82">
                  <c:v>11.756191439551667</c:v>
                </c:pt>
                <c:pt idx="83">
                  <c:v>11.680343852932877</c:v>
                </c:pt>
                <c:pt idx="84">
                  <c:v>11.599749558740132</c:v>
                </c:pt>
                <c:pt idx="85">
                  <c:v>11.514812396472012</c:v>
                </c:pt>
                <c:pt idx="86">
                  <c:v>11.425941759366658</c:v>
                </c:pt>
                <c:pt idx="87">
                  <c:v>11.33355126911531</c:v>
                </c:pt>
                <c:pt idx="88">
                  <c:v>11.238057450997751</c:v>
                </c:pt>
                <c:pt idx="89">
                  <c:v>11.139878413638895</c:v>
                </c:pt>
                <c:pt idx="90">
                  <c:v>11.039432537542933</c:v>
                </c:pt>
                <c:pt idx="91">
                  <c:v>10.937137176505438</c:v>
                </c:pt>
                <c:pt idx="92">
                  <c:v>10.833407375934456</c:v>
                </c:pt>
                <c:pt idx="93">
                  <c:v>10.728654612029533</c:v>
                </c:pt>
                <c:pt idx="94">
                  <c:v>10.623285555672972</c:v>
                </c:pt>
                <c:pt idx="95">
                  <c:v>10.517700864780773</c:v>
                </c:pt>
                <c:pt idx="96">
                  <c:v>10.412294008742213</c:v>
                </c:pt>
                <c:pt idx="97">
                  <c:v>10.307450128447172</c:v>
                </c:pt>
                <c:pt idx="98">
                  <c:v>10.203544935259696</c:v>
                </c:pt>
                <c:pt idx="99">
                  <c:v>10.100943652145439</c:v>
                </c:pt>
                <c:pt idx="100">
                  <c:v>10</c:v>
                </c:pt>
              </c:numCache>
            </c:numRef>
          </c:xVal>
          <c:yVal>
            <c:numRef>
              <c:f>CantileverMoment!$A$10:$A$110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95-1D4F-8880-C43894A5653A}"/>
            </c:ext>
          </c:extLst>
        </c:ser>
        <c:ser>
          <c:idx val="1"/>
          <c:order val="1"/>
          <c:tx>
            <c:v>w_exact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CantileverMoment!$C$10:$C$110</c:f>
              <c:numCache>
                <c:formatCode>0.00000</c:formatCode>
                <c:ptCount val="101"/>
                <c:pt idx="0">
                  <c:v>0</c:v>
                </c:pt>
                <c:pt idx="1">
                  <c:v>0.31405592470329491</c:v>
                </c:pt>
                <c:pt idx="2">
                  <c:v>0.62749213177843544</c:v>
                </c:pt>
                <c:pt idx="3">
                  <c:v>0.93969053409218573</c:v>
                </c:pt>
                <c:pt idx="4">
                  <c:v>1.2500363006749917</c:v>
                </c:pt>
                <c:pt idx="5">
                  <c:v>1.5579194727527892</c:v>
                </c:pt>
                <c:pt idx="6">
                  <c:v>1.862736565361375</c:v>
                </c:pt>
                <c:pt idx="7">
                  <c:v>2.1638921498083707</c:v>
                </c:pt>
                <c:pt idx="8">
                  <c:v>2.4608004123083118</c:v>
                </c:pt>
                <c:pt idx="9">
                  <c:v>2.7528866841915645</c:v>
                </c:pt>
                <c:pt idx="10">
                  <c:v>3.0395889391774364</c:v>
                </c:pt>
                <c:pt idx="11">
                  <c:v>3.3203592533057149</c:v>
                </c:pt>
                <c:pt idx="12">
                  <c:v>3.5946652232386271</c:v>
                </c:pt>
                <c:pt idx="13">
                  <c:v>3.861991338776404</c:v>
                </c:pt>
                <c:pt idx="14">
                  <c:v>4.1218403055738388</c:v>
                </c:pt>
                <c:pt idx="15">
                  <c:v>4.3737343142020944</c:v>
                </c:pt>
                <c:pt idx="16">
                  <c:v>4.61721625186878</c:v>
                </c:pt>
                <c:pt idx="17">
                  <c:v>4.8518508532897267</c:v>
                </c:pt>
                <c:pt idx="18">
                  <c:v>5.0772257873971496</c:v>
                </c:pt>
                <c:pt idx="19">
                  <c:v>5.2929526767703141</c:v>
                </c:pt>
                <c:pt idx="20">
                  <c:v>5.4986680468861024</c:v>
                </c:pt>
                <c:pt idx="21">
                  <c:v>5.6940342025068098</c:v>
                </c:pt>
                <c:pt idx="22">
                  <c:v>5.8787400287509</c:v>
                </c:pt>
                <c:pt idx="23">
                  <c:v>6.0525017146280549</c:v>
                </c:pt>
                <c:pt idx="24">
                  <c:v>6.2150633970623712</c:v>
                </c:pt>
                <c:pt idx="25">
                  <c:v>6.3661977236758132</c:v>
                </c:pt>
                <c:pt idx="26">
                  <c:v>6.5057063328574536</c:v>
                </c:pt>
                <c:pt idx="27">
                  <c:v>6.6334202499016826</c:v>
                </c:pt>
                <c:pt idx="28">
                  <c:v>6.7492001982596745</c:v>
                </c:pt>
                <c:pt idx="29">
                  <c:v>6.8529368252119882</c:v>
                </c:pt>
                <c:pt idx="30">
                  <c:v>6.9445508415356221</c:v>
                </c:pt>
                <c:pt idx="31">
                  <c:v>7.0239930750049906</c:v>
                </c:pt>
                <c:pt idx="32">
                  <c:v>7.0912444378325628</c:v>
                </c:pt>
                <c:pt idx="33">
                  <c:v>7.1463158084201606</c:v>
                </c:pt>
                <c:pt idx="34">
                  <c:v>7.1892478280555938</c:v>
                </c:pt>
                <c:pt idx="35">
                  <c:v>7.2201106134502631</c:v>
                </c:pt>
                <c:pt idx="36">
                  <c:v>7.239003386271027</c:v>
                </c:pt>
                <c:pt idx="37">
                  <c:v>7.2460540210729043</c:v>
                </c:pt>
                <c:pt idx="38">
                  <c:v>7.2414185132875559</c:v>
                </c:pt>
                <c:pt idx="39">
                  <c:v>7.225280369164814</c:v>
                </c:pt>
                <c:pt idx="40">
                  <c:v>7.1978499198004071</c:v>
                </c:pt>
                <c:pt idx="41">
                  <c:v>7.1593635616113804</c:v>
                </c:pt>
                <c:pt idx="42">
                  <c:v>7.1100829258410521</c:v>
                </c:pt>
                <c:pt idx="43">
                  <c:v>7.0502939798867921</c:v>
                </c:pt>
                <c:pt idx="44">
                  <c:v>6.9803060634459637</c:v>
                </c:pt>
                <c:pt idx="45">
                  <c:v>6.9004508626672614</c:v>
                </c:pt>
                <c:pt idx="46">
                  <c:v>6.811081325675886</c:v>
                </c:pt>
                <c:pt idx="47">
                  <c:v>6.7125705230109389</c:v>
                </c:pt>
                <c:pt idx="48">
                  <c:v>6.6053104566715373</c:v>
                </c:pt>
                <c:pt idx="49">
                  <c:v>6.489710821614028</c:v>
                </c:pt>
                <c:pt idx="50">
                  <c:v>6.366197723675814</c:v>
                </c:pt>
                <c:pt idx="51">
                  <c:v>6.2352123580213208</c:v>
                </c:pt>
                <c:pt idx="52">
                  <c:v>6.0972096523121886</c:v>
                </c:pt>
                <c:pt idx="53">
                  <c:v>5.9526568788964918</c:v>
                </c:pt>
                <c:pt idx="54">
                  <c:v>5.8020322403905693</c:v>
                </c:pt>
                <c:pt idx="55">
                  <c:v>5.6458234330913948</c:v>
                </c:pt>
                <c:pt idx="56">
                  <c:v>5.484526192707543</c:v>
                </c:pt>
                <c:pt idx="57">
                  <c:v>5.3186428269321429</c:v>
                </c:pt>
                <c:pt idx="58">
                  <c:v>5.148680739402141</c:v>
                </c:pt>
                <c:pt idx="59">
                  <c:v>4.9751509495943491</c:v>
                </c:pt>
                <c:pt idx="60">
                  <c:v>4.7985666132002711</c:v>
                </c:pt>
                <c:pt idx="61">
                  <c:v>4.619441547498818</c:v>
                </c:pt>
                <c:pt idx="62">
                  <c:v>4.4382887662085029</c:v>
                </c:pt>
                <c:pt idx="63">
                  <c:v>4.2556190282491659</c:v>
                </c:pt>
                <c:pt idx="64">
                  <c:v>4.0719394047774511</c:v>
                </c:pt>
                <c:pt idx="65">
                  <c:v>3.8877518687809123</c:v>
                </c:pt>
                <c:pt idx="66">
                  <c:v>3.7035519114225797</c:v>
                </c:pt>
                <c:pt idx="67">
                  <c:v>3.5198271892218704</c:v>
                </c:pt>
                <c:pt idx="68">
                  <c:v>3.3370562060388531</c:v>
                </c:pt>
                <c:pt idx="69">
                  <c:v>3.1557070336978956</c:v>
                </c:pt>
                <c:pt idx="70">
                  <c:v>2.9762360749438379</c:v>
                </c:pt>
                <c:pt idx="71">
                  <c:v>2.7990868722696867</c:v>
                </c:pt>
                <c:pt idx="72">
                  <c:v>2.6246889659898733</c:v>
                </c:pt>
                <c:pt idx="73">
                  <c:v>2.453456804758158</c:v>
                </c:pt>
                <c:pt idx="74">
                  <c:v>2.2857887115445101</c:v>
                </c:pt>
                <c:pt idx="75">
                  <c:v>2.1220659078919382</c:v>
                </c:pt>
                <c:pt idx="76">
                  <c:v>1.9626515990723294</c:v>
                </c:pt>
                <c:pt idx="77">
                  <c:v>1.8078901225512372</c:v>
                </c:pt>
                <c:pt idx="78">
                  <c:v>1.6581061619553827</c:v>
                </c:pt>
                <c:pt idx="79">
                  <c:v>1.5136040285144678</c:v>
                </c:pt>
                <c:pt idx="80">
                  <c:v>1.3746670117215258</c:v>
                </c:pt>
                <c:pt idx="81">
                  <c:v>1.2415568007239004</c:v>
                </c:pt>
                <c:pt idx="82">
                  <c:v>1.1145129777213254</c:v>
                </c:pt>
                <c:pt idx="83">
                  <c:v>0.9937525844087397</c:v>
                </c:pt>
                <c:pt idx="84">
                  <c:v>0.87946976226071949</c:v>
                </c:pt>
                <c:pt idx="85">
                  <c:v>0.77183546721213492</c:v>
                </c:pt>
                <c:pt idx="86">
                  <c:v>0.67099725904690477</c:v>
                </c:pt>
                <c:pt idx="87">
                  <c:v>0.57707916556429151</c:v>
                </c:pt>
                <c:pt idx="88">
                  <c:v>0.49018162135072246</c:v>
                </c:pt>
                <c:pt idx="89">
                  <c:v>0.4103814807456499</c:v>
                </c:pt>
                <c:pt idx="90">
                  <c:v>0.33773210435304868</c:v>
                </c:pt>
                <c:pt idx="91">
                  <c:v>0.27226351821674777</c:v>
                </c:pt>
                <c:pt idx="92">
                  <c:v>0.21398264454854884</c:v>
                </c:pt>
                <c:pt idx="93">
                  <c:v>0.16287360267374815</c:v>
                </c:pt>
                <c:pt idx="94">
                  <c:v>0.11889807864008776</c:v>
                </c:pt>
                <c:pt idx="95">
                  <c:v>8.1995761723831009E-2</c:v>
                </c:pt>
                <c:pt idx="96">
                  <c:v>5.2084845861458166E-2</c:v>
                </c:pt>
                <c:pt idx="97">
                  <c:v>2.9062593837903019E-2</c:v>
                </c:pt>
                <c:pt idx="98">
                  <c:v>1.2805961873029474E-2</c:v>
                </c:pt>
                <c:pt idx="99">
                  <c:v>3.1722820677100496E-3</c:v>
                </c:pt>
                <c:pt idx="100">
                  <c:v>0</c:v>
                </c:pt>
              </c:numCache>
            </c:numRef>
          </c:xVal>
          <c:yVal>
            <c:numRef>
              <c:f>CantileverMoment!$A$10:$A$110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95-1D4F-8880-C43894A5653A}"/>
            </c:ext>
          </c:extLst>
        </c:ser>
        <c:ser>
          <c:idx val="4"/>
          <c:order val="2"/>
          <c:tx>
            <c:v>u_Q8_10x1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CantileverMoment!$D$10:$D$110</c:f>
              <c:numCache>
                <c:formatCode>0.00000</c:formatCode>
                <c:ptCount val="101"/>
                <c:pt idx="0">
                  <c:v>0</c:v>
                </c:pt>
                <c:pt idx="1">
                  <c:v>6.5789500000000001E-3</c:v>
                </c:pt>
                <c:pt idx="2">
                  <c:v>2.6300299999999999E-2</c:v>
                </c:pt>
                <c:pt idx="3">
                  <c:v>5.9117599999999999E-2</c:v>
                </c:pt>
                <c:pt idx="4">
                  <c:v>0.104953</c:v>
                </c:pt>
                <c:pt idx="5">
                  <c:v>0.16369900000000001</c:v>
                </c:pt>
                <c:pt idx="6">
                  <c:v>0.23521700000000001</c:v>
                </c:pt>
                <c:pt idx="7">
                  <c:v>0.31933699999999998</c:v>
                </c:pt>
                <c:pt idx="8">
                  <c:v>0.41586299999999998</c:v>
                </c:pt>
                <c:pt idx="9">
                  <c:v>0.52456499999999995</c:v>
                </c:pt>
                <c:pt idx="10">
                  <c:v>0.64518900000000001</c:v>
                </c:pt>
                <c:pt idx="11">
                  <c:v>0.77745200000000003</c:v>
                </c:pt>
                <c:pt idx="12">
                  <c:v>0.92104299999999995</c:v>
                </c:pt>
                <c:pt idx="13">
                  <c:v>1.0756300000000001</c:v>
                </c:pt>
                <c:pt idx="14">
                  <c:v>1.2408399999999999</c:v>
                </c:pt>
                <c:pt idx="15">
                  <c:v>1.4162999999999999</c:v>
                </c:pt>
                <c:pt idx="16">
                  <c:v>1.6015999999999999</c:v>
                </c:pt>
                <c:pt idx="17">
                  <c:v>1.7963</c:v>
                </c:pt>
                <c:pt idx="18">
                  <c:v>1.99996</c:v>
                </c:pt>
                <c:pt idx="19">
                  <c:v>2.21211</c:v>
                </c:pt>
                <c:pt idx="20">
                  <c:v>2.4322499999999998</c:v>
                </c:pt>
                <c:pt idx="21">
                  <c:v>2.6598899999999999</c:v>
                </c:pt>
                <c:pt idx="22">
                  <c:v>2.8944999999999999</c:v>
                </c:pt>
                <c:pt idx="23">
                  <c:v>3.1355499999999998</c:v>
                </c:pt>
                <c:pt idx="24">
                  <c:v>3.3824900000000002</c:v>
                </c:pt>
                <c:pt idx="25">
                  <c:v>3.63476</c:v>
                </c:pt>
                <c:pt idx="26">
                  <c:v>3.8917999999999999</c:v>
                </c:pt>
                <c:pt idx="27">
                  <c:v>4.1530300000000002</c:v>
                </c:pt>
                <c:pt idx="28">
                  <c:v>4.4178699999999997</c:v>
                </c:pt>
                <c:pt idx="29">
                  <c:v>4.68574</c:v>
                </c:pt>
                <c:pt idx="30">
                  <c:v>4.9560500000000003</c:v>
                </c:pt>
                <c:pt idx="31">
                  <c:v>5.2281899999999997</c:v>
                </c:pt>
                <c:pt idx="32">
                  <c:v>5.5015999999999998</c:v>
                </c:pt>
                <c:pt idx="33">
                  <c:v>5.7756600000000002</c:v>
                </c:pt>
                <c:pt idx="34">
                  <c:v>6.0498099999999999</c:v>
                </c:pt>
                <c:pt idx="35">
                  <c:v>6.3234599999999999</c:v>
                </c:pt>
                <c:pt idx="36">
                  <c:v>6.5960299999999998</c:v>
                </c:pt>
                <c:pt idx="37">
                  <c:v>6.8669500000000001</c:v>
                </c:pt>
                <c:pt idx="38">
                  <c:v>7.1356799999999998</c:v>
                </c:pt>
                <c:pt idx="39">
                  <c:v>7.4016599999999997</c:v>
                </c:pt>
                <c:pt idx="40">
                  <c:v>7.6643499999999998</c:v>
                </c:pt>
                <c:pt idx="41">
                  <c:v>7.9232399999999998</c:v>
                </c:pt>
                <c:pt idx="42">
                  <c:v>8.1778200000000005</c:v>
                </c:pt>
                <c:pt idx="43">
                  <c:v>8.4275900000000004</c:v>
                </c:pt>
                <c:pt idx="44">
                  <c:v>8.6721000000000004</c:v>
                </c:pt>
                <c:pt idx="45">
                  <c:v>8.9108699999999992</c:v>
                </c:pt>
                <c:pt idx="46">
                  <c:v>9.1434700000000007</c:v>
                </c:pt>
                <c:pt idx="47">
                  <c:v>9.3695000000000004</c:v>
                </c:pt>
                <c:pt idx="48">
                  <c:v>9.5885499999999997</c:v>
                </c:pt>
                <c:pt idx="49">
                  <c:v>9.8002599999999997</c:v>
                </c:pt>
                <c:pt idx="50">
                  <c:v>10.004300000000001</c:v>
                </c:pt>
                <c:pt idx="51">
                  <c:v>10.2003</c:v>
                </c:pt>
                <c:pt idx="52">
                  <c:v>10.388</c:v>
                </c:pt>
                <c:pt idx="53">
                  <c:v>10.5671</c:v>
                </c:pt>
                <c:pt idx="54">
                  <c:v>10.737399999999999</c:v>
                </c:pt>
                <c:pt idx="55">
                  <c:v>10.8986</c:v>
                </c:pt>
                <c:pt idx="56">
                  <c:v>11.0505</c:v>
                </c:pt>
                <c:pt idx="57">
                  <c:v>11.193099999999999</c:v>
                </c:pt>
                <c:pt idx="58">
                  <c:v>11.3261</c:v>
                </c:pt>
                <c:pt idx="59">
                  <c:v>11.449400000000001</c:v>
                </c:pt>
                <c:pt idx="60">
                  <c:v>11.563000000000001</c:v>
                </c:pt>
                <c:pt idx="61">
                  <c:v>11.6668</c:v>
                </c:pt>
                <c:pt idx="62">
                  <c:v>11.7607</c:v>
                </c:pt>
                <c:pt idx="63">
                  <c:v>11.844799999999999</c:v>
                </c:pt>
                <c:pt idx="64">
                  <c:v>11.919</c:v>
                </c:pt>
                <c:pt idx="65">
                  <c:v>11.983499999999999</c:v>
                </c:pt>
                <c:pt idx="66">
                  <c:v>12.0383</c:v>
                </c:pt>
                <c:pt idx="67">
                  <c:v>12.083500000000001</c:v>
                </c:pt>
                <c:pt idx="68">
                  <c:v>12.119199999999999</c:v>
                </c:pt>
                <c:pt idx="69">
                  <c:v>12.1457</c:v>
                </c:pt>
                <c:pt idx="70">
                  <c:v>12.1629</c:v>
                </c:pt>
                <c:pt idx="71">
                  <c:v>12.1713</c:v>
                </c:pt>
                <c:pt idx="72">
                  <c:v>12.1709</c:v>
                </c:pt>
                <c:pt idx="73">
                  <c:v>12.162000000000001</c:v>
                </c:pt>
                <c:pt idx="74">
                  <c:v>12.1449</c:v>
                </c:pt>
                <c:pt idx="75">
                  <c:v>12.119899999999999</c:v>
                </c:pt>
                <c:pt idx="76">
                  <c:v>12.087199999999999</c:v>
                </c:pt>
                <c:pt idx="77">
                  <c:v>12.0471</c:v>
                </c:pt>
                <c:pt idx="78">
                  <c:v>12.0001</c:v>
                </c:pt>
                <c:pt idx="79">
                  <c:v>11.946400000000001</c:v>
                </c:pt>
                <c:pt idx="80">
                  <c:v>11.8865</c:v>
                </c:pt>
                <c:pt idx="81">
                  <c:v>11.820600000000001</c:v>
                </c:pt>
                <c:pt idx="82">
                  <c:v>11.7491</c:v>
                </c:pt>
                <c:pt idx="83">
                  <c:v>11.672599999999999</c:v>
                </c:pt>
                <c:pt idx="84">
                  <c:v>11.591200000000001</c:v>
                </c:pt>
                <c:pt idx="85">
                  <c:v>11.505599999999999</c:v>
                </c:pt>
                <c:pt idx="86">
                  <c:v>11.416</c:v>
                </c:pt>
                <c:pt idx="87">
                  <c:v>11.322800000000001</c:v>
                </c:pt>
                <c:pt idx="88">
                  <c:v>11.226599999999999</c:v>
                </c:pt>
                <c:pt idx="89">
                  <c:v>11.127800000000001</c:v>
                </c:pt>
                <c:pt idx="90">
                  <c:v>11.0267</c:v>
                </c:pt>
                <c:pt idx="91">
                  <c:v>10.9237</c:v>
                </c:pt>
                <c:pt idx="92">
                  <c:v>10.8194</c:v>
                </c:pt>
                <c:pt idx="93">
                  <c:v>10.7141</c:v>
                </c:pt>
                <c:pt idx="94">
                  <c:v>10.6082</c:v>
                </c:pt>
                <c:pt idx="95">
                  <c:v>10.5021</c:v>
                </c:pt>
                <c:pt idx="96">
                  <c:v>10.3963</c:v>
                </c:pt>
                <c:pt idx="97">
                  <c:v>10.2911</c:v>
                </c:pt>
                <c:pt idx="98">
                  <c:v>10.1869</c:v>
                </c:pt>
                <c:pt idx="99">
                  <c:v>10.084</c:v>
                </c:pt>
                <c:pt idx="100">
                  <c:v>9.9829000000000008</c:v>
                </c:pt>
              </c:numCache>
            </c:numRef>
          </c:xVal>
          <c:yVal>
            <c:numRef>
              <c:f>CantileverMoment!$A$10:$A$110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1-FC4F-80FC-59D527113A31}"/>
            </c:ext>
          </c:extLst>
        </c:ser>
        <c:ser>
          <c:idx val="5"/>
          <c:order val="3"/>
          <c:tx>
            <c:v>w_Q8_10x1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CantileverMoment!$E$10:$E$110</c:f>
              <c:numCache>
                <c:formatCode>0.00000</c:formatCode>
                <c:ptCount val="101"/>
                <c:pt idx="0">
                  <c:v>0</c:v>
                </c:pt>
                <c:pt idx="1">
                  <c:v>0.314056</c:v>
                </c:pt>
                <c:pt idx="2">
                  <c:v>0.627494</c:v>
                </c:pt>
                <c:pt idx="3">
                  <c:v>0.93969599999999998</c:v>
                </c:pt>
                <c:pt idx="4">
                  <c:v>1.2500500000000001</c:v>
                </c:pt>
                <c:pt idx="5">
                  <c:v>1.5579400000000001</c:v>
                </c:pt>
                <c:pt idx="6">
                  <c:v>1.86276</c:v>
                </c:pt>
                <c:pt idx="7">
                  <c:v>2.1639200000000001</c:v>
                </c:pt>
                <c:pt idx="8">
                  <c:v>2.4608400000000001</c:v>
                </c:pt>
                <c:pt idx="9">
                  <c:v>2.7529400000000002</c:v>
                </c:pt>
                <c:pt idx="10">
                  <c:v>3.03966</c:v>
                </c:pt>
                <c:pt idx="11">
                  <c:v>3.3204400000000001</c:v>
                </c:pt>
                <c:pt idx="12">
                  <c:v>3.59477</c:v>
                </c:pt>
                <c:pt idx="13">
                  <c:v>3.8621099999999999</c:v>
                </c:pt>
                <c:pt idx="14">
                  <c:v>4.1219799999999998</c:v>
                </c:pt>
                <c:pt idx="15">
                  <c:v>4.3738900000000003</c:v>
                </c:pt>
                <c:pt idx="16">
                  <c:v>4.6173900000000003</c:v>
                </c:pt>
                <c:pt idx="17">
                  <c:v>4.8520399999999997</c:v>
                </c:pt>
                <c:pt idx="18">
                  <c:v>5.0774299999999997</c:v>
                </c:pt>
                <c:pt idx="19">
                  <c:v>5.2931800000000004</c:v>
                </c:pt>
                <c:pt idx="20">
                  <c:v>5.4989100000000004</c:v>
                </c:pt>
                <c:pt idx="21">
                  <c:v>5.6942899999999996</c:v>
                </c:pt>
                <c:pt idx="22">
                  <c:v>5.8789999999999996</c:v>
                </c:pt>
                <c:pt idx="23">
                  <c:v>6.0527699999999998</c:v>
                </c:pt>
                <c:pt idx="24">
                  <c:v>6.2153400000000003</c:v>
                </c:pt>
                <c:pt idx="25">
                  <c:v>6.3664699999999996</c:v>
                </c:pt>
                <c:pt idx="26">
                  <c:v>6.5059699999999996</c:v>
                </c:pt>
                <c:pt idx="27">
                  <c:v>6.6336700000000004</c:v>
                </c:pt>
                <c:pt idx="28">
                  <c:v>6.7494300000000003</c:v>
                </c:pt>
                <c:pt idx="29">
                  <c:v>6.8531399999999998</c:v>
                </c:pt>
                <c:pt idx="30">
                  <c:v>6.9447200000000002</c:v>
                </c:pt>
                <c:pt idx="31">
                  <c:v>7.0241199999999999</c:v>
                </c:pt>
                <c:pt idx="32">
                  <c:v>7.09131</c:v>
                </c:pt>
                <c:pt idx="33">
                  <c:v>7.1463200000000002</c:v>
                </c:pt>
                <c:pt idx="34">
                  <c:v>7.1891800000000003</c:v>
                </c:pt>
                <c:pt idx="35">
                  <c:v>7.2199499999999999</c:v>
                </c:pt>
                <c:pt idx="36">
                  <c:v>7.23874</c:v>
                </c:pt>
                <c:pt idx="37">
                  <c:v>7.2456800000000001</c:v>
                </c:pt>
                <c:pt idx="38">
                  <c:v>7.2409100000000004</c:v>
                </c:pt>
                <c:pt idx="39">
                  <c:v>7.2246300000000003</c:v>
                </c:pt>
                <c:pt idx="40">
                  <c:v>7.1970499999999999</c:v>
                </c:pt>
                <c:pt idx="41">
                  <c:v>7.1583899999999998</c:v>
                </c:pt>
                <c:pt idx="42">
                  <c:v>7.1089200000000003</c:v>
                </c:pt>
                <c:pt idx="43">
                  <c:v>7.0489300000000004</c:v>
                </c:pt>
                <c:pt idx="44">
                  <c:v>6.97872</c:v>
                </c:pt>
                <c:pt idx="45">
                  <c:v>6.8986299999999998</c:v>
                </c:pt>
                <c:pt idx="46">
                  <c:v>6.8090099999999998</c:v>
                </c:pt>
                <c:pt idx="47">
                  <c:v>6.7102300000000001</c:v>
                </c:pt>
                <c:pt idx="48">
                  <c:v>6.6026899999999999</c:v>
                </c:pt>
                <c:pt idx="49">
                  <c:v>6.4867900000000001</c:v>
                </c:pt>
                <c:pt idx="50">
                  <c:v>6.3629699999999998</c:v>
                </c:pt>
                <c:pt idx="51">
                  <c:v>6.2316500000000001</c:v>
                </c:pt>
                <c:pt idx="52">
                  <c:v>6.0933099999999998</c:v>
                </c:pt>
                <c:pt idx="53">
                  <c:v>5.94841</c:v>
                </c:pt>
                <c:pt idx="54">
                  <c:v>5.7974199999999998</c:v>
                </c:pt>
                <c:pt idx="55">
                  <c:v>5.6408399999999999</c:v>
                </c:pt>
                <c:pt idx="56">
                  <c:v>5.4791600000000003</c:v>
                </c:pt>
                <c:pt idx="57">
                  <c:v>5.3128799999999998</c:v>
                </c:pt>
                <c:pt idx="58">
                  <c:v>5.1425200000000002</c:v>
                </c:pt>
                <c:pt idx="59">
                  <c:v>4.9685899999999998</c:v>
                </c:pt>
                <c:pt idx="60">
                  <c:v>4.7916100000000004</c:v>
                </c:pt>
                <c:pt idx="61">
                  <c:v>4.6120799999999997</c:v>
                </c:pt>
                <c:pt idx="62">
                  <c:v>4.4305199999999996</c:v>
                </c:pt>
                <c:pt idx="63">
                  <c:v>4.2474600000000002</c:v>
                </c:pt>
                <c:pt idx="64">
                  <c:v>4.0633800000000004</c:v>
                </c:pt>
                <c:pt idx="65">
                  <c:v>3.8788100000000001</c:v>
                </c:pt>
                <c:pt idx="66">
                  <c:v>3.6942400000000002</c:v>
                </c:pt>
                <c:pt idx="67">
                  <c:v>3.5101499999999999</c:v>
                </c:pt>
                <c:pt idx="68">
                  <c:v>3.3270400000000002</c:v>
                </c:pt>
                <c:pt idx="69">
                  <c:v>3.1453600000000002</c:v>
                </c:pt>
                <c:pt idx="70">
                  <c:v>2.9655800000000001</c:v>
                </c:pt>
                <c:pt idx="71">
                  <c:v>2.7881499999999999</c:v>
                </c:pt>
                <c:pt idx="72">
                  <c:v>2.6135000000000002</c:v>
                </c:pt>
                <c:pt idx="73">
                  <c:v>2.44204</c:v>
                </c:pt>
                <c:pt idx="74">
                  <c:v>2.2741799999999999</c:v>
                </c:pt>
                <c:pt idx="75">
                  <c:v>2.1103000000000001</c:v>
                </c:pt>
                <c:pt idx="76">
                  <c:v>1.95076</c:v>
                </c:pt>
                <c:pt idx="77">
                  <c:v>1.79592</c:v>
                </c:pt>
                <c:pt idx="78">
                  <c:v>1.6460999999999999</c:v>
                </c:pt>
                <c:pt idx="79">
                  <c:v>1.5016</c:v>
                </c:pt>
                <c:pt idx="80">
                  <c:v>1.3627199999999999</c:v>
                </c:pt>
                <c:pt idx="81">
                  <c:v>1.2297100000000001</c:v>
                </c:pt>
                <c:pt idx="82">
                  <c:v>1.1028199999999999</c:v>
                </c:pt>
                <c:pt idx="83">
                  <c:v>0.98226500000000005</c:v>
                </c:pt>
                <c:pt idx="84">
                  <c:v>0.86824299999999999</c:v>
                </c:pt>
                <c:pt idx="85">
                  <c:v>0.76092599999999999</c:v>
                </c:pt>
                <c:pt idx="86">
                  <c:v>0.66046199999999999</c:v>
                </c:pt>
                <c:pt idx="87">
                  <c:v>0.56697500000000001</c:v>
                </c:pt>
                <c:pt idx="88">
                  <c:v>0.480568</c:v>
                </c:pt>
                <c:pt idx="89">
                  <c:v>0.40131800000000001</c:v>
                </c:pt>
                <c:pt idx="90">
                  <c:v>0.32927600000000001</c:v>
                </c:pt>
                <c:pt idx="91">
                  <c:v>0.26447500000000002</c:v>
                </c:pt>
                <c:pt idx="92">
                  <c:v>0.20691899999999999</c:v>
                </c:pt>
                <c:pt idx="93">
                  <c:v>0.15659100000000001</c:v>
                </c:pt>
                <c:pt idx="94">
                  <c:v>0.113453</c:v>
                </c:pt>
                <c:pt idx="95">
                  <c:v>7.7442499999999997E-2</c:v>
                </c:pt>
                <c:pt idx="96">
                  <c:v>4.8474900000000001E-2</c:v>
                </c:pt>
                <c:pt idx="97">
                  <c:v>2.64455E-2</c:v>
                </c:pt>
                <c:pt idx="98">
                  <c:v>1.1228399999999999E-2</c:v>
                </c:pt>
                <c:pt idx="99">
                  <c:v>2.6777300000000001E-3</c:v>
                </c:pt>
                <c:pt idx="100">
                  <c:v>6.2830299999999998E-4</c:v>
                </c:pt>
              </c:numCache>
            </c:numRef>
          </c:xVal>
          <c:yVal>
            <c:numRef>
              <c:f>CantileverMoment!$A$10:$A$110</c:f>
              <c:numCache>
                <c:formatCode>0.00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1-FC4F-80FC-59D527113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u, 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wA_Sze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SlitAnnularPlate!$B$2:$B$25</c:f>
              <c:numCache>
                <c:formatCode>0.000</c:formatCode>
                <c:ptCount val="24"/>
                <c:pt idx="0">
                  <c:v>0</c:v>
                </c:pt>
                <c:pt idx="1">
                  <c:v>1.3049999999999999</c:v>
                </c:pt>
                <c:pt idx="2">
                  <c:v>2.4550000000000001</c:v>
                </c:pt>
                <c:pt idx="3">
                  <c:v>3.4350000000000001</c:v>
                </c:pt>
                <c:pt idx="4">
                  <c:v>4.2770000000000001</c:v>
                </c:pt>
                <c:pt idx="5">
                  <c:v>5.0069999999999997</c:v>
                </c:pt>
                <c:pt idx="6">
                  <c:v>5.649</c:v>
                </c:pt>
                <c:pt idx="7">
                  <c:v>6.7249999999999996</c:v>
                </c:pt>
                <c:pt idx="8">
                  <c:v>7.6020000000000003</c:v>
                </c:pt>
                <c:pt idx="9">
                  <c:v>8.34</c:v>
                </c:pt>
                <c:pt idx="10">
                  <c:v>8.9740000000000002</c:v>
                </c:pt>
                <c:pt idx="11">
                  <c:v>9.5289999999999999</c:v>
                </c:pt>
                <c:pt idx="12">
                  <c:v>10.023</c:v>
                </c:pt>
                <c:pt idx="13">
                  <c:v>10.468</c:v>
                </c:pt>
                <c:pt idx="14">
                  <c:v>10.875999999999999</c:v>
                </c:pt>
                <c:pt idx="15">
                  <c:v>11.257</c:v>
                </c:pt>
                <c:pt idx="16">
                  <c:v>11.62</c:v>
                </c:pt>
                <c:pt idx="17">
                  <c:v>11.97</c:v>
                </c:pt>
                <c:pt idx="18">
                  <c:v>12.31</c:v>
                </c:pt>
                <c:pt idx="19">
                  <c:v>12.641999999999999</c:v>
                </c:pt>
                <c:pt idx="20">
                  <c:v>12.965999999999999</c:v>
                </c:pt>
                <c:pt idx="21">
                  <c:v>13.282</c:v>
                </c:pt>
                <c:pt idx="22">
                  <c:v>13.59</c:v>
                </c:pt>
                <c:pt idx="23">
                  <c:v>13.891</c:v>
                </c:pt>
              </c:numCache>
            </c:numRef>
          </c:xVal>
          <c:yVal>
            <c:numRef>
              <c:f>SlitAnnularPlate!$A$2:$A$25</c:f>
              <c:numCache>
                <c:formatCode>0.000</c:formatCode>
                <c:ptCount val="2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0-F64F-9014-2476F0967D33}"/>
            </c:ext>
          </c:extLst>
        </c:ser>
        <c:ser>
          <c:idx val="1"/>
          <c:order val="1"/>
          <c:tx>
            <c:v>wB_Sze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SlitAnnularPlate!$C$2:$C$25</c:f>
              <c:numCache>
                <c:formatCode>0.000</c:formatCode>
                <c:ptCount val="24"/>
                <c:pt idx="0">
                  <c:v>0</c:v>
                </c:pt>
                <c:pt idx="1">
                  <c:v>1.7889999999999999</c:v>
                </c:pt>
                <c:pt idx="2">
                  <c:v>3.37</c:v>
                </c:pt>
                <c:pt idx="3">
                  <c:v>4.72</c:v>
                </c:pt>
                <c:pt idx="4">
                  <c:v>5.8760000000000003</c:v>
                </c:pt>
                <c:pt idx="5">
                  <c:v>6.8719999999999999</c:v>
                </c:pt>
                <c:pt idx="6">
                  <c:v>7.7359999999999998</c:v>
                </c:pt>
                <c:pt idx="7">
                  <c:v>9.16</c:v>
                </c:pt>
                <c:pt idx="8">
                  <c:v>10.288</c:v>
                </c:pt>
                <c:pt idx="9">
                  <c:v>11.212999999999999</c:v>
                </c:pt>
                <c:pt idx="10">
                  <c:v>11.992000000000001</c:v>
                </c:pt>
                <c:pt idx="11">
                  <c:v>12.661</c:v>
                </c:pt>
                <c:pt idx="12">
                  <c:v>13.247</c:v>
                </c:pt>
                <c:pt idx="13">
                  <c:v>13.768000000000001</c:v>
                </c:pt>
                <c:pt idx="14">
                  <c:v>14.24</c:v>
                </c:pt>
                <c:pt idx="15">
                  <c:v>14.673999999999999</c:v>
                </c:pt>
                <c:pt idx="16">
                  <c:v>15.081</c:v>
                </c:pt>
                <c:pt idx="17">
                  <c:v>15.468999999999999</c:v>
                </c:pt>
                <c:pt idx="18">
                  <c:v>15.842000000000001</c:v>
                </c:pt>
                <c:pt idx="19">
                  <c:v>16.202000000000002</c:v>
                </c:pt>
                <c:pt idx="20">
                  <c:v>16.55</c:v>
                </c:pt>
                <c:pt idx="21">
                  <c:v>16.885999999999999</c:v>
                </c:pt>
                <c:pt idx="22">
                  <c:v>17.212</c:v>
                </c:pt>
                <c:pt idx="23">
                  <c:v>17.527999999999999</c:v>
                </c:pt>
              </c:numCache>
            </c:numRef>
          </c:xVal>
          <c:yVal>
            <c:numRef>
              <c:f>SlitAnnularPlate!$A$2:$A$25</c:f>
              <c:numCache>
                <c:formatCode>0.000</c:formatCode>
                <c:ptCount val="2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D0-F64F-9014-2476F0967D33}"/>
            </c:ext>
          </c:extLst>
        </c:ser>
        <c:ser>
          <c:idx val="2"/>
          <c:order val="2"/>
          <c:tx>
            <c:v>wA_Q8_10x80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SlitAnnularPlate!$E$2:$E$42</c:f>
              <c:numCache>
                <c:formatCode>0.00000</c:formatCode>
                <c:ptCount val="41"/>
                <c:pt idx="0">
                  <c:v>0</c:v>
                </c:pt>
                <c:pt idx="1">
                  <c:v>1.3073600000000001</c:v>
                </c:pt>
                <c:pt idx="2">
                  <c:v>2.4549500000000002</c:v>
                </c:pt>
                <c:pt idx="3">
                  <c:v>3.4319600000000001</c:v>
                </c:pt>
                <c:pt idx="4">
                  <c:v>4.2717299999999998</c:v>
                </c:pt>
                <c:pt idx="5">
                  <c:v>5.0017800000000001</c:v>
                </c:pt>
                <c:pt idx="6">
                  <c:v>5.6427300000000002</c:v>
                </c:pt>
                <c:pt idx="7">
                  <c:v>6.21089</c:v>
                </c:pt>
                <c:pt idx="8">
                  <c:v>6.7193800000000001</c:v>
                </c:pt>
                <c:pt idx="9">
                  <c:v>7.1785699999999997</c:v>
                </c:pt>
                <c:pt idx="10">
                  <c:v>7.5965999999999996</c:v>
                </c:pt>
                <c:pt idx="11">
                  <c:v>7.9797799999999999</c:v>
                </c:pt>
                <c:pt idx="12">
                  <c:v>8.3331300000000006</c:v>
                </c:pt>
                <c:pt idx="13">
                  <c:v>8.6606699999999996</c:v>
                </c:pt>
                <c:pt idx="14">
                  <c:v>8.9657</c:v>
                </c:pt>
                <c:pt idx="15">
                  <c:v>9.2509700000000006</c:v>
                </c:pt>
                <c:pt idx="16">
                  <c:v>9.5188400000000009</c:v>
                </c:pt>
                <c:pt idx="17">
                  <c:v>9.7713099999999997</c:v>
                </c:pt>
                <c:pt idx="18">
                  <c:v>10.010199999999999</c:v>
                </c:pt>
                <c:pt idx="19">
                  <c:v>10.237</c:v>
                </c:pt>
                <c:pt idx="20">
                  <c:v>10.453200000000001</c:v>
                </c:pt>
                <c:pt idx="21">
                  <c:v>10.6602</c:v>
                </c:pt>
                <c:pt idx="22">
                  <c:v>10.8592</c:v>
                </c:pt>
                <c:pt idx="23">
                  <c:v>11.051500000000001</c:v>
                </c:pt>
                <c:pt idx="24">
                  <c:v>11.238200000000001</c:v>
                </c:pt>
                <c:pt idx="25">
                  <c:v>11.420500000000001</c:v>
                </c:pt>
                <c:pt idx="26">
                  <c:v>11.5992</c:v>
                </c:pt>
                <c:pt idx="27">
                  <c:v>11.775</c:v>
                </c:pt>
                <c:pt idx="28">
                  <c:v>11.9483</c:v>
                </c:pt>
                <c:pt idx="29">
                  <c:v>12.119199999999999</c:v>
                </c:pt>
                <c:pt idx="30">
                  <c:v>12.288</c:v>
                </c:pt>
                <c:pt idx="31">
                  <c:v>12.454599999999999</c:v>
                </c:pt>
                <c:pt idx="32">
                  <c:v>12.6191</c:v>
                </c:pt>
                <c:pt idx="33">
                  <c:v>12.781599999999999</c:v>
                </c:pt>
                <c:pt idx="34">
                  <c:v>12.9421</c:v>
                </c:pt>
                <c:pt idx="35">
                  <c:v>13.1006</c:v>
                </c:pt>
                <c:pt idx="36">
                  <c:v>13.257099999999999</c:v>
                </c:pt>
                <c:pt idx="37">
                  <c:v>13.4116</c:v>
                </c:pt>
                <c:pt idx="38">
                  <c:v>13.5642</c:v>
                </c:pt>
                <c:pt idx="39">
                  <c:v>13.714700000000001</c:v>
                </c:pt>
                <c:pt idx="40">
                  <c:v>13.863200000000001</c:v>
                </c:pt>
              </c:numCache>
            </c:numRef>
          </c:xVal>
          <c:yVal>
            <c:numRef>
              <c:f>SlitAnnularPlate!$D$2:$D$42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0-F64F-9014-2476F0967D33}"/>
            </c:ext>
          </c:extLst>
        </c:ser>
        <c:ser>
          <c:idx val="3"/>
          <c:order val="3"/>
          <c:tx>
            <c:v>wB_Q8_10x80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SlitAnnularPlate!$F$2:$F$42</c:f>
              <c:numCache>
                <c:formatCode>0.00000</c:formatCode>
                <c:ptCount val="41"/>
                <c:pt idx="0">
                  <c:v>0</c:v>
                </c:pt>
                <c:pt idx="1">
                  <c:v>1.7906899999999999</c:v>
                </c:pt>
                <c:pt idx="2">
                  <c:v>3.3686799999999999</c:v>
                </c:pt>
                <c:pt idx="3">
                  <c:v>4.7149200000000002</c:v>
                </c:pt>
                <c:pt idx="4">
                  <c:v>5.8686999999999996</c:v>
                </c:pt>
                <c:pt idx="5">
                  <c:v>6.8640999999999996</c:v>
                </c:pt>
                <c:pt idx="6">
                  <c:v>7.7283999999999997</c:v>
                </c:pt>
                <c:pt idx="7">
                  <c:v>8.48461</c:v>
                </c:pt>
                <c:pt idx="8">
                  <c:v>9.1520299999999999</c:v>
                </c:pt>
                <c:pt idx="9">
                  <c:v>9.7464099999999991</c:v>
                </c:pt>
                <c:pt idx="10">
                  <c:v>10.2803</c:v>
                </c:pt>
                <c:pt idx="11">
                  <c:v>10.7637</c:v>
                </c:pt>
                <c:pt idx="12">
                  <c:v>11.2043</c:v>
                </c:pt>
                <c:pt idx="13">
                  <c:v>11.608499999999999</c:v>
                </c:pt>
                <c:pt idx="14">
                  <c:v>11.981299999999999</c:v>
                </c:pt>
                <c:pt idx="15">
                  <c:v>12.3269</c:v>
                </c:pt>
                <c:pt idx="16">
                  <c:v>12.6488</c:v>
                </c:pt>
                <c:pt idx="17">
                  <c:v>12.9498</c:v>
                </c:pt>
                <c:pt idx="18">
                  <c:v>13.2326</c:v>
                </c:pt>
                <c:pt idx="19">
                  <c:v>13.4993</c:v>
                </c:pt>
                <c:pt idx="20">
                  <c:v>13.751899999999999</c:v>
                </c:pt>
                <c:pt idx="21">
                  <c:v>13.992100000000001</c:v>
                </c:pt>
                <c:pt idx="22">
                  <c:v>14.221500000000001</c:v>
                </c:pt>
                <c:pt idx="23">
                  <c:v>14.441700000000001</c:v>
                </c:pt>
                <c:pt idx="24">
                  <c:v>14.654</c:v>
                </c:pt>
                <c:pt idx="25">
                  <c:v>14.8597</c:v>
                </c:pt>
                <c:pt idx="26">
                  <c:v>15.059900000000001</c:v>
                </c:pt>
                <c:pt idx="27">
                  <c:v>15.2553</c:v>
                </c:pt>
                <c:pt idx="28">
                  <c:v>15.4466</c:v>
                </c:pt>
                <c:pt idx="29">
                  <c:v>15.6342</c:v>
                </c:pt>
                <c:pt idx="30">
                  <c:v>15.818300000000001</c:v>
                </c:pt>
                <c:pt idx="31">
                  <c:v>15.999000000000001</c:v>
                </c:pt>
                <c:pt idx="32">
                  <c:v>16.176600000000001</c:v>
                </c:pt>
                <c:pt idx="33">
                  <c:v>16.351299999999998</c:v>
                </c:pt>
                <c:pt idx="34">
                  <c:v>16.523</c:v>
                </c:pt>
                <c:pt idx="35">
                  <c:v>16.692</c:v>
                </c:pt>
                <c:pt idx="36">
                  <c:v>16.8582</c:v>
                </c:pt>
                <c:pt idx="37">
                  <c:v>17.021799999999999</c:v>
                </c:pt>
                <c:pt idx="38">
                  <c:v>17.182700000000001</c:v>
                </c:pt>
                <c:pt idx="39">
                  <c:v>17.341200000000001</c:v>
                </c:pt>
                <c:pt idx="40">
                  <c:v>17.4971</c:v>
                </c:pt>
              </c:numCache>
            </c:numRef>
          </c:xVal>
          <c:yVal>
            <c:numRef>
              <c:f>SlitAnnularPlate!$D$2:$D$42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D0-F64F-9014-2476F0967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u,w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wA_Sze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Hemisphere!$B$2:$B$22</c:f>
              <c:numCache>
                <c:formatCode>0.000</c:formatCode>
                <c:ptCount val="21"/>
                <c:pt idx="0">
                  <c:v>0</c:v>
                </c:pt>
                <c:pt idx="1">
                  <c:v>0.85499999999999998</c:v>
                </c:pt>
                <c:pt idx="2">
                  <c:v>1.4990000000000001</c:v>
                </c:pt>
                <c:pt idx="3">
                  <c:v>1.9690000000000001</c:v>
                </c:pt>
                <c:pt idx="4">
                  <c:v>2.3210000000000002</c:v>
                </c:pt>
                <c:pt idx="5">
                  <c:v>2.5960000000000001</c:v>
                </c:pt>
                <c:pt idx="6">
                  <c:v>2.819</c:v>
                </c:pt>
                <c:pt idx="7">
                  <c:v>3.0019999999999998</c:v>
                </c:pt>
                <c:pt idx="8">
                  <c:v>3.1579999999999999</c:v>
                </c:pt>
                <c:pt idx="9">
                  <c:v>3.2909999999999999</c:v>
                </c:pt>
                <c:pt idx="10">
                  <c:v>3.4060000000000001</c:v>
                </c:pt>
                <c:pt idx="11">
                  <c:v>3.508</c:v>
                </c:pt>
                <c:pt idx="12">
                  <c:v>3.5979999999999999</c:v>
                </c:pt>
                <c:pt idx="13">
                  <c:v>3.6779999999999999</c:v>
                </c:pt>
                <c:pt idx="14">
                  <c:v>3.75</c:v>
                </c:pt>
                <c:pt idx="15">
                  <c:v>3.8159999999999998</c:v>
                </c:pt>
                <c:pt idx="16">
                  <c:v>3.875</c:v>
                </c:pt>
                <c:pt idx="17">
                  <c:v>3.9289999999999998</c:v>
                </c:pt>
                <c:pt idx="18">
                  <c:v>3.9790000000000001</c:v>
                </c:pt>
                <c:pt idx="19">
                  <c:v>4.0250000000000004</c:v>
                </c:pt>
                <c:pt idx="20">
                  <c:v>4.0670000000000002</c:v>
                </c:pt>
              </c:numCache>
            </c:numRef>
          </c:xVal>
          <c:yVal>
            <c:numRef>
              <c:f>Hemisphere!$A$2:$A$22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E-1F4B-9CB1-2E18D215BEFE}"/>
            </c:ext>
          </c:extLst>
        </c:ser>
        <c:ser>
          <c:idx val="1"/>
          <c:order val="1"/>
          <c:tx>
            <c:v>uB_Sze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Hemisphere!$C$2:$C$22</c:f>
              <c:numCache>
                <c:formatCode>0.000</c:formatCode>
                <c:ptCount val="21"/>
                <c:pt idx="0">
                  <c:v>0</c:v>
                </c:pt>
                <c:pt idx="1">
                  <c:v>0.95499999999999996</c:v>
                </c:pt>
                <c:pt idx="2">
                  <c:v>1.84</c:v>
                </c:pt>
                <c:pt idx="3">
                  <c:v>2.6040000000000001</c:v>
                </c:pt>
                <c:pt idx="4">
                  <c:v>3.2610000000000001</c:v>
                </c:pt>
                <c:pt idx="5">
                  <c:v>3.8330000000000002</c:v>
                </c:pt>
                <c:pt idx="6">
                  <c:v>4.3390000000000004</c:v>
                </c:pt>
                <c:pt idx="7">
                  <c:v>4.79</c:v>
                </c:pt>
                <c:pt idx="8">
                  <c:v>5.1959999999999997</c:v>
                </c:pt>
                <c:pt idx="9">
                  <c:v>5.5650000000000004</c:v>
                </c:pt>
                <c:pt idx="10">
                  <c:v>5.9020000000000001</c:v>
                </c:pt>
                <c:pt idx="11">
                  <c:v>6.2119999999999997</c:v>
                </c:pt>
                <c:pt idx="12">
                  <c:v>6.4969999999999999</c:v>
                </c:pt>
                <c:pt idx="13">
                  <c:v>6.7610000000000001</c:v>
                </c:pt>
                <c:pt idx="14">
                  <c:v>7.0060000000000002</c:v>
                </c:pt>
                <c:pt idx="15">
                  <c:v>7.234</c:v>
                </c:pt>
                <c:pt idx="16">
                  <c:v>7.4480000000000004</c:v>
                </c:pt>
                <c:pt idx="17">
                  <c:v>7.6470000000000002</c:v>
                </c:pt>
                <c:pt idx="18">
                  <c:v>7.835</c:v>
                </c:pt>
                <c:pt idx="19">
                  <c:v>8.0109999999999992</c:v>
                </c:pt>
                <c:pt idx="20">
                  <c:v>8.1780000000000008</c:v>
                </c:pt>
              </c:numCache>
            </c:numRef>
          </c:xVal>
          <c:yVal>
            <c:numRef>
              <c:f>Hemisphere!$A$2:$A$22</c:f>
              <c:numCache>
                <c:formatCode>0.000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FE-1F4B-9CB1-2E18D215BEFE}"/>
            </c:ext>
          </c:extLst>
        </c:ser>
        <c:ser>
          <c:idx val="2"/>
          <c:order val="2"/>
          <c:tx>
            <c:v>wA_Q8_16x16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Hemisphere!$E$2:$E$42</c:f>
              <c:numCache>
                <c:formatCode>0.00000</c:formatCode>
                <c:ptCount val="41"/>
                <c:pt idx="0">
                  <c:v>0</c:v>
                </c:pt>
                <c:pt idx="1">
                  <c:v>0.45127899999999999</c:v>
                </c:pt>
                <c:pt idx="2">
                  <c:v>0.85512100000000002</c:v>
                </c:pt>
                <c:pt idx="3">
                  <c:v>1.2035899999999999</c:v>
                </c:pt>
                <c:pt idx="4">
                  <c:v>1.50013</c:v>
                </c:pt>
                <c:pt idx="5">
                  <c:v>1.75267</c:v>
                </c:pt>
                <c:pt idx="6">
                  <c:v>1.9693700000000001</c:v>
                </c:pt>
                <c:pt idx="7">
                  <c:v>2.1571799999999999</c:v>
                </c:pt>
                <c:pt idx="8">
                  <c:v>2.3216100000000002</c:v>
                </c:pt>
                <c:pt idx="9">
                  <c:v>2.4669400000000001</c:v>
                </c:pt>
                <c:pt idx="10">
                  <c:v>2.5965099999999999</c:v>
                </c:pt>
                <c:pt idx="11">
                  <c:v>2.7128899999999998</c:v>
                </c:pt>
                <c:pt idx="12">
                  <c:v>2.81813</c:v>
                </c:pt>
                <c:pt idx="13">
                  <c:v>2.9138700000000002</c:v>
                </c:pt>
                <c:pt idx="14">
                  <c:v>3.00142</c:v>
                </c:pt>
                <c:pt idx="15">
                  <c:v>3.0818500000000002</c:v>
                </c:pt>
                <c:pt idx="16">
                  <c:v>3.1560600000000001</c:v>
                </c:pt>
                <c:pt idx="17">
                  <c:v>3.2247699999999999</c:v>
                </c:pt>
                <c:pt idx="18">
                  <c:v>3.2886199999999999</c:v>
                </c:pt>
                <c:pt idx="19">
                  <c:v>3.3481200000000002</c:v>
                </c:pt>
                <c:pt idx="20">
                  <c:v>3.4037299999999999</c:v>
                </c:pt>
                <c:pt idx="21">
                  <c:v>3.4558300000000002</c:v>
                </c:pt>
                <c:pt idx="22">
                  <c:v>3.5047700000000002</c:v>
                </c:pt>
                <c:pt idx="23">
                  <c:v>3.5508299999999999</c:v>
                </c:pt>
                <c:pt idx="24">
                  <c:v>3.5942699999999999</c:v>
                </c:pt>
                <c:pt idx="25">
                  <c:v>3.63531</c:v>
                </c:pt>
                <c:pt idx="26">
                  <c:v>3.6741600000000001</c:v>
                </c:pt>
                <c:pt idx="27">
                  <c:v>3.7109999999999999</c:v>
                </c:pt>
                <c:pt idx="28">
                  <c:v>3.7459799999999999</c:v>
                </c:pt>
                <c:pt idx="29">
                  <c:v>3.7792400000000002</c:v>
                </c:pt>
                <c:pt idx="30">
                  <c:v>3.8109199999999999</c:v>
                </c:pt>
                <c:pt idx="31">
                  <c:v>3.8411200000000001</c:v>
                </c:pt>
                <c:pt idx="32">
                  <c:v>3.8699599999999998</c:v>
                </c:pt>
                <c:pt idx="33">
                  <c:v>3.8975200000000001</c:v>
                </c:pt>
                <c:pt idx="34">
                  <c:v>3.9238900000000001</c:v>
                </c:pt>
                <c:pt idx="35">
                  <c:v>3.9491499999999999</c:v>
                </c:pt>
                <c:pt idx="36">
                  <c:v>3.9733800000000001</c:v>
                </c:pt>
                <c:pt idx="37">
                  <c:v>3.9966300000000001</c:v>
                </c:pt>
                <c:pt idx="38">
                  <c:v>4.0189700000000004</c:v>
                </c:pt>
                <c:pt idx="39">
                  <c:v>4.0404499999999999</c:v>
                </c:pt>
                <c:pt idx="40">
                  <c:v>4.0611199999999998</c:v>
                </c:pt>
              </c:numCache>
            </c:numRef>
          </c:xVal>
          <c:yVal>
            <c:numRef>
              <c:f>Hemisphere!$D$2:$D$42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FE-1F4B-9CB1-2E18D215BEFE}"/>
            </c:ext>
          </c:extLst>
        </c:ser>
        <c:ser>
          <c:idx val="3"/>
          <c:order val="3"/>
          <c:tx>
            <c:v>uB_Q8_16x16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Hemisphere!$F$2:$F$42</c:f>
              <c:numCache>
                <c:formatCode>0.00000</c:formatCode>
                <c:ptCount val="41"/>
                <c:pt idx="0">
                  <c:v>0</c:v>
                </c:pt>
                <c:pt idx="1">
                  <c:v>0.47656900000000002</c:v>
                </c:pt>
                <c:pt idx="2">
                  <c:v>0.95138</c:v>
                </c:pt>
                <c:pt idx="3">
                  <c:v>1.4051499999999999</c:v>
                </c:pt>
                <c:pt idx="4">
                  <c:v>1.8293900000000001</c:v>
                </c:pt>
                <c:pt idx="5">
                  <c:v>2.2226599999999999</c:v>
                </c:pt>
                <c:pt idx="6">
                  <c:v>2.5867200000000001</c:v>
                </c:pt>
                <c:pt idx="7">
                  <c:v>2.9243800000000002</c:v>
                </c:pt>
                <c:pt idx="8">
                  <c:v>3.2385199999999998</c:v>
                </c:pt>
                <c:pt idx="9">
                  <c:v>3.5318299999999998</c:v>
                </c:pt>
                <c:pt idx="10">
                  <c:v>3.8066200000000001</c:v>
                </c:pt>
                <c:pt idx="11">
                  <c:v>4.0648900000000001</c:v>
                </c:pt>
                <c:pt idx="12">
                  <c:v>4.3083400000000003</c:v>
                </c:pt>
                <c:pt idx="13">
                  <c:v>4.5384200000000003</c:v>
                </c:pt>
                <c:pt idx="14">
                  <c:v>4.7563800000000001</c:v>
                </c:pt>
                <c:pt idx="15">
                  <c:v>4.9633000000000003</c:v>
                </c:pt>
                <c:pt idx="16">
                  <c:v>5.1600999999999999</c:v>
                </c:pt>
                <c:pt idx="17">
                  <c:v>5.3475999999999999</c:v>
                </c:pt>
                <c:pt idx="18">
                  <c:v>5.5265199999999997</c:v>
                </c:pt>
                <c:pt idx="19">
                  <c:v>5.6974900000000002</c:v>
                </c:pt>
                <c:pt idx="20">
                  <c:v>5.8610899999999999</c:v>
                </c:pt>
                <c:pt idx="21">
                  <c:v>6.0178099999999999</c:v>
                </c:pt>
                <c:pt idx="22">
                  <c:v>6.16812</c:v>
                </c:pt>
                <c:pt idx="23">
                  <c:v>6.3124099999999999</c:v>
                </c:pt>
                <c:pt idx="24">
                  <c:v>6.4510800000000001</c:v>
                </c:pt>
                <c:pt idx="25">
                  <c:v>6.58446</c:v>
                </c:pt>
                <c:pt idx="26">
                  <c:v>6.7128500000000004</c:v>
                </c:pt>
                <c:pt idx="27">
                  <c:v>6.8365499999999999</c:v>
                </c:pt>
                <c:pt idx="28">
                  <c:v>6.9558200000000001</c:v>
                </c:pt>
                <c:pt idx="29">
                  <c:v>7.0709099999999996</c:v>
                </c:pt>
                <c:pt idx="30">
                  <c:v>7.1820300000000001</c:v>
                </c:pt>
                <c:pt idx="31">
                  <c:v>7.2893999999999997</c:v>
                </c:pt>
                <c:pt idx="32">
                  <c:v>7.3932000000000002</c:v>
                </c:pt>
                <c:pt idx="33">
                  <c:v>7.4936299999999996</c:v>
                </c:pt>
                <c:pt idx="34">
                  <c:v>7.59084</c:v>
                </c:pt>
                <c:pt idx="35">
                  <c:v>7.6849999999999996</c:v>
                </c:pt>
                <c:pt idx="36">
                  <c:v>7.7762399999999996</c:v>
                </c:pt>
                <c:pt idx="37">
                  <c:v>7.8647200000000002</c:v>
                </c:pt>
                <c:pt idx="38">
                  <c:v>7.9505499999999998</c:v>
                </c:pt>
                <c:pt idx="39">
                  <c:v>8.0338600000000007</c:v>
                </c:pt>
                <c:pt idx="40">
                  <c:v>8.1147600000000004</c:v>
                </c:pt>
              </c:numCache>
            </c:numRef>
          </c:xVal>
          <c:yVal>
            <c:numRef>
              <c:f>Hemisphere!$D$2:$D$42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FE-1F4B-9CB1-2E18D215B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u,w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wA_Sze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PullOutCylinder!$B$2:$B$25</c:f>
              <c:numCache>
                <c:formatCode>0.000</c:formatCode>
                <c:ptCount val="24"/>
                <c:pt idx="0">
                  <c:v>0</c:v>
                </c:pt>
                <c:pt idx="1">
                  <c:v>0.81899999999999995</c:v>
                </c:pt>
                <c:pt idx="2">
                  <c:v>1.26</c:v>
                </c:pt>
                <c:pt idx="3">
                  <c:v>1.5269999999999999</c:v>
                </c:pt>
                <c:pt idx="4">
                  <c:v>1.7070000000000001</c:v>
                </c:pt>
                <c:pt idx="5">
                  <c:v>1.9359999999999999</c:v>
                </c:pt>
                <c:pt idx="6">
                  <c:v>2.0790000000000002</c:v>
                </c:pt>
                <c:pt idx="7">
                  <c:v>2.1800000000000002</c:v>
                </c:pt>
                <c:pt idx="8">
                  <c:v>2.2570000000000001</c:v>
                </c:pt>
                <c:pt idx="9">
                  <c:v>2.3210000000000002</c:v>
                </c:pt>
                <c:pt idx="10">
                  <c:v>2.3759999999999999</c:v>
                </c:pt>
                <c:pt idx="11">
                  <c:v>2.4249999999999998</c:v>
                </c:pt>
                <c:pt idx="12">
                  <c:v>2.4729999999999999</c:v>
                </c:pt>
                <c:pt idx="13">
                  <c:v>2.5430000000000001</c:v>
                </c:pt>
                <c:pt idx="14">
                  <c:v>2.577</c:v>
                </c:pt>
                <c:pt idx="15">
                  <c:v>2.6179999999999999</c:v>
                </c:pt>
                <c:pt idx="16">
                  <c:v>2.6480000000000001</c:v>
                </c:pt>
                <c:pt idx="17">
                  <c:v>2.6720000000000002</c:v>
                </c:pt>
                <c:pt idx="18">
                  <c:v>2.6920000000000002</c:v>
                </c:pt>
                <c:pt idx="19">
                  <c:v>2.71</c:v>
                </c:pt>
                <c:pt idx="20">
                  <c:v>2.726</c:v>
                </c:pt>
                <c:pt idx="21">
                  <c:v>2.7410000000000001</c:v>
                </c:pt>
                <c:pt idx="22">
                  <c:v>2.7549999999999999</c:v>
                </c:pt>
                <c:pt idx="23">
                  <c:v>2.7679999999999998</c:v>
                </c:pt>
              </c:numCache>
            </c:numRef>
          </c:xVal>
          <c:yVal>
            <c:numRef>
              <c:f>PullOutCylinder!$A$2:$A$25</c:f>
              <c:numCache>
                <c:formatCode>0.000</c:formatCode>
                <c:ptCount val="2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0.45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2B-7340-896B-7271DB69911A}"/>
            </c:ext>
          </c:extLst>
        </c:ser>
        <c:ser>
          <c:idx val="1"/>
          <c:order val="1"/>
          <c:tx>
            <c:v>uB_Sze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PullOutCylinder!$C$2:$C$25</c:f>
              <c:numCache>
                <c:formatCode>0.000</c:formatCode>
                <c:ptCount val="24"/>
                <c:pt idx="0">
                  <c:v>0</c:v>
                </c:pt>
                <c:pt idx="1">
                  <c:v>0.86399999999999999</c:v>
                </c:pt>
                <c:pt idx="2">
                  <c:v>1.4710000000000001</c:v>
                </c:pt>
                <c:pt idx="3">
                  <c:v>1.901</c:v>
                </c:pt>
                <c:pt idx="4">
                  <c:v>2.2170000000000001</c:v>
                </c:pt>
                <c:pt idx="5">
                  <c:v>2.641</c:v>
                </c:pt>
                <c:pt idx="6">
                  <c:v>2.9039999999999999</c:v>
                </c:pt>
                <c:pt idx="7">
                  <c:v>3.0870000000000002</c:v>
                </c:pt>
                <c:pt idx="8">
                  <c:v>3.2269999999999999</c:v>
                </c:pt>
                <c:pt idx="9">
                  <c:v>3.3420000000000001</c:v>
                </c:pt>
                <c:pt idx="10">
                  <c:v>3.4430000000000001</c:v>
                </c:pt>
                <c:pt idx="11">
                  <c:v>3.5390000000000001</c:v>
                </c:pt>
                <c:pt idx="12">
                  <c:v>3.653</c:v>
                </c:pt>
                <c:pt idx="13">
                  <c:v>4.0609999999999999</c:v>
                </c:pt>
                <c:pt idx="14">
                  <c:v>4.1710000000000003</c:v>
                </c:pt>
                <c:pt idx="15">
                  <c:v>4.274</c:v>
                </c:pt>
                <c:pt idx="16">
                  <c:v>4.3380000000000001</c:v>
                </c:pt>
                <c:pt idx="17">
                  <c:v>4.3849999999999998</c:v>
                </c:pt>
                <c:pt idx="18">
                  <c:v>4.423</c:v>
                </c:pt>
                <c:pt idx="19">
                  <c:v>4.4550000000000001</c:v>
                </c:pt>
                <c:pt idx="20">
                  <c:v>4.4829999999999997</c:v>
                </c:pt>
                <c:pt idx="21">
                  <c:v>4.508</c:v>
                </c:pt>
                <c:pt idx="22">
                  <c:v>4.53</c:v>
                </c:pt>
                <c:pt idx="23">
                  <c:v>4.5510000000000002</c:v>
                </c:pt>
              </c:numCache>
            </c:numRef>
          </c:xVal>
          <c:yVal>
            <c:numRef>
              <c:f>PullOutCylinder!$A$2:$A$25</c:f>
              <c:numCache>
                <c:formatCode>0.000</c:formatCode>
                <c:ptCount val="2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0.45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2B-7340-896B-7271DB69911A}"/>
            </c:ext>
          </c:extLst>
        </c:ser>
        <c:ser>
          <c:idx val="4"/>
          <c:order val="2"/>
          <c:tx>
            <c:v>uC_Sze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PullOutCylinder!$D$2:$D$25</c:f>
              <c:numCache>
                <c:formatCode>0.000</c:formatCode>
                <c:ptCount val="24"/>
                <c:pt idx="0">
                  <c:v>0</c:v>
                </c:pt>
                <c:pt idx="1">
                  <c:v>0.872</c:v>
                </c:pt>
                <c:pt idx="2">
                  <c:v>1.4930000000000001</c:v>
                </c:pt>
                <c:pt idx="3">
                  <c:v>1.946</c:v>
                </c:pt>
                <c:pt idx="4">
                  <c:v>2.2930000000000001</c:v>
                </c:pt>
                <c:pt idx="5">
                  <c:v>2.7919999999999998</c:v>
                </c:pt>
                <c:pt idx="6">
                  <c:v>3.1059999999999999</c:v>
                </c:pt>
                <c:pt idx="7">
                  <c:v>3.31</c:v>
                </c:pt>
                <c:pt idx="8">
                  <c:v>3.452</c:v>
                </c:pt>
                <c:pt idx="9">
                  <c:v>3.556</c:v>
                </c:pt>
                <c:pt idx="10">
                  <c:v>3.6320000000000001</c:v>
                </c:pt>
                <c:pt idx="11">
                  <c:v>3.6880000000000002</c:v>
                </c:pt>
                <c:pt idx="12">
                  <c:v>3.718</c:v>
                </c:pt>
                <c:pt idx="13">
                  <c:v>3.58</c:v>
                </c:pt>
                <c:pt idx="14">
                  <c:v>3.5179999999999998</c:v>
                </c:pt>
                <c:pt idx="15">
                  <c:v>3.452</c:v>
                </c:pt>
                <c:pt idx="16">
                  <c:v>3.41</c:v>
                </c:pt>
                <c:pt idx="17">
                  <c:v>3.3780000000000001</c:v>
                </c:pt>
                <c:pt idx="18">
                  <c:v>3.3530000000000002</c:v>
                </c:pt>
                <c:pt idx="19">
                  <c:v>3.3319999999999999</c:v>
                </c:pt>
                <c:pt idx="20">
                  <c:v>3.3130000000000002</c:v>
                </c:pt>
                <c:pt idx="21">
                  <c:v>3.2970000000000002</c:v>
                </c:pt>
                <c:pt idx="22">
                  <c:v>3.2829999999999999</c:v>
                </c:pt>
                <c:pt idx="23">
                  <c:v>3.2690000000000001</c:v>
                </c:pt>
              </c:numCache>
            </c:numRef>
          </c:xVal>
          <c:yVal>
            <c:numRef>
              <c:f>PullOutCylinder!$A$2:$A$25</c:f>
              <c:numCache>
                <c:formatCode>0.000</c:formatCode>
                <c:ptCount val="24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0.15</c:v>
                </c:pt>
                <c:pt idx="6">
                  <c:v>0.2</c:v>
                </c:pt>
                <c:pt idx="7">
                  <c:v>0.25</c:v>
                </c:pt>
                <c:pt idx="8">
                  <c:v>0.3</c:v>
                </c:pt>
                <c:pt idx="9">
                  <c:v>0.35</c:v>
                </c:pt>
                <c:pt idx="10">
                  <c:v>0.4</c:v>
                </c:pt>
                <c:pt idx="11">
                  <c:v>0.45</c:v>
                </c:pt>
                <c:pt idx="12">
                  <c:v>0.5</c:v>
                </c:pt>
                <c:pt idx="13">
                  <c:v>0.52500000000000002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32B-7340-896B-7271DB69911A}"/>
            </c:ext>
          </c:extLst>
        </c:ser>
        <c:ser>
          <c:idx val="2"/>
          <c:order val="3"/>
          <c:tx>
            <c:v>wA_Q8_12x18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PullOutCylinder!$F$2:$F$82</c:f>
              <c:numCache>
                <c:formatCode>0.00000</c:formatCode>
                <c:ptCount val="81"/>
                <c:pt idx="0">
                  <c:v>0</c:v>
                </c:pt>
                <c:pt idx="1">
                  <c:v>0.47849599999999998</c:v>
                </c:pt>
                <c:pt idx="2">
                  <c:v>0.81941799999999998</c:v>
                </c:pt>
                <c:pt idx="3">
                  <c:v>1.06979</c:v>
                </c:pt>
                <c:pt idx="4">
                  <c:v>1.25962</c:v>
                </c:pt>
                <c:pt idx="5">
                  <c:v>1.4079600000000001</c:v>
                </c:pt>
                <c:pt idx="6">
                  <c:v>1.52701</c:v>
                </c:pt>
                <c:pt idx="7">
                  <c:v>1.62479</c:v>
                </c:pt>
                <c:pt idx="8">
                  <c:v>1.7066699999999999</c:v>
                </c:pt>
                <c:pt idx="9">
                  <c:v>1.77637</c:v>
                </c:pt>
                <c:pt idx="10">
                  <c:v>1.83649</c:v>
                </c:pt>
                <c:pt idx="11">
                  <c:v>1.8889400000000001</c:v>
                </c:pt>
                <c:pt idx="12">
                  <c:v>1.9351799999999999</c:v>
                </c:pt>
                <c:pt idx="13">
                  <c:v>1.97631</c:v>
                </c:pt>
                <c:pt idx="14">
                  <c:v>2.0132300000000001</c:v>
                </c:pt>
                <c:pt idx="15">
                  <c:v>2.0466500000000001</c:v>
                </c:pt>
                <c:pt idx="16">
                  <c:v>2.0771199999999999</c:v>
                </c:pt>
                <c:pt idx="17">
                  <c:v>2.1051000000000002</c:v>
                </c:pt>
                <c:pt idx="18">
                  <c:v>2.1309399999999998</c:v>
                </c:pt>
                <c:pt idx="19">
                  <c:v>2.1549399999999999</c:v>
                </c:pt>
                <c:pt idx="20">
                  <c:v>2.1773400000000001</c:v>
                </c:pt>
                <c:pt idx="21">
                  <c:v>2.19834</c:v>
                </c:pt>
                <c:pt idx="22">
                  <c:v>2.2181000000000002</c:v>
                </c:pt>
                <c:pt idx="23">
                  <c:v>2.2367699999999999</c:v>
                </c:pt>
                <c:pt idx="24">
                  <c:v>2.25447</c:v>
                </c:pt>
                <c:pt idx="25">
                  <c:v>2.27129</c:v>
                </c:pt>
                <c:pt idx="26">
                  <c:v>2.2873299999999999</c:v>
                </c:pt>
                <c:pt idx="27">
                  <c:v>2.30267</c:v>
                </c:pt>
                <c:pt idx="28">
                  <c:v>2.3173699999999999</c:v>
                </c:pt>
                <c:pt idx="29">
                  <c:v>2.3315100000000002</c:v>
                </c:pt>
                <c:pt idx="30">
                  <c:v>2.3451300000000002</c:v>
                </c:pt>
                <c:pt idx="31">
                  <c:v>2.3582900000000002</c:v>
                </c:pt>
                <c:pt idx="32">
                  <c:v>2.3710399999999998</c:v>
                </c:pt>
                <c:pt idx="33">
                  <c:v>2.3834300000000002</c:v>
                </c:pt>
                <c:pt idx="34">
                  <c:v>2.3955099999999998</c:v>
                </c:pt>
                <c:pt idx="35">
                  <c:v>2.40733</c:v>
                </c:pt>
                <c:pt idx="36">
                  <c:v>2.4189500000000002</c:v>
                </c:pt>
                <c:pt idx="37">
                  <c:v>2.4304600000000001</c:v>
                </c:pt>
                <c:pt idx="38">
                  <c:v>2.44197</c:v>
                </c:pt>
                <c:pt idx="39">
                  <c:v>2.4536699999999998</c:v>
                </c:pt>
                <c:pt idx="40">
                  <c:v>2.4659300000000002</c:v>
                </c:pt>
                <c:pt idx="41">
                  <c:v>2.4799699999999998</c:v>
                </c:pt>
                <c:pt idx="42">
                  <c:v>2.5380699999999998</c:v>
                </c:pt>
                <c:pt idx="43">
                  <c:v>2.5570900000000001</c:v>
                </c:pt>
                <c:pt idx="44">
                  <c:v>2.5714999999999999</c:v>
                </c:pt>
                <c:pt idx="45">
                  <c:v>2.58358</c:v>
                </c:pt>
                <c:pt idx="46">
                  <c:v>2.59416</c:v>
                </c:pt>
                <c:pt idx="47">
                  <c:v>2.6036700000000002</c:v>
                </c:pt>
                <c:pt idx="48">
                  <c:v>2.6123400000000001</c:v>
                </c:pt>
                <c:pt idx="49">
                  <c:v>2.6203400000000001</c:v>
                </c:pt>
                <c:pt idx="50">
                  <c:v>2.6278000000000001</c:v>
                </c:pt>
                <c:pt idx="51">
                  <c:v>2.6347800000000001</c:v>
                </c:pt>
                <c:pt idx="52">
                  <c:v>2.6413700000000002</c:v>
                </c:pt>
                <c:pt idx="53">
                  <c:v>2.6476099999999998</c:v>
                </c:pt>
                <c:pt idx="54">
                  <c:v>2.6535500000000001</c:v>
                </c:pt>
                <c:pt idx="55">
                  <c:v>2.6591999999999998</c:v>
                </c:pt>
                <c:pt idx="56">
                  <c:v>2.6646200000000002</c:v>
                </c:pt>
                <c:pt idx="57">
                  <c:v>2.66981</c:v>
                </c:pt>
                <c:pt idx="58">
                  <c:v>2.6747999999999998</c:v>
                </c:pt>
                <c:pt idx="59">
                  <c:v>2.6796099999999998</c:v>
                </c:pt>
                <c:pt idx="60">
                  <c:v>2.68424</c:v>
                </c:pt>
                <c:pt idx="61">
                  <c:v>2.68872</c:v>
                </c:pt>
                <c:pt idx="62">
                  <c:v>2.69306</c:v>
                </c:pt>
                <c:pt idx="63">
                  <c:v>2.69726</c:v>
                </c:pt>
                <c:pt idx="64">
                  <c:v>2.7013400000000001</c:v>
                </c:pt>
                <c:pt idx="65">
                  <c:v>2.7052999999999998</c:v>
                </c:pt>
                <c:pt idx="66">
                  <c:v>2.7091500000000002</c:v>
                </c:pt>
                <c:pt idx="67">
                  <c:v>2.7128999999999999</c:v>
                </c:pt>
                <c:pt idx="68">
                  <c:v>2.7165599999999999</c:v>
                </c:pt>
                <c:pt idx="69">
                  <c:v>2.7201200000000001</c:v>
                </c:pt>
                <c:pt idx="70">
                  <c:v>2.7235999999999998</c:v>
                </c:pt>
                <c:pt idx="71">
                  <c:v>2.7269899999999998</c:v>
                </c:pt>
                <c:pt idx="72">
                  <c:v>2.7303099999999998</c:v>
                </c:pt>
                <c:pt idx="73">
                  <c:v>2.7335600000000002</c:v>
                </c:pt>
                <c:pt idx="74">
                  <c:v>2.7367400000000002</c:v>
                </c:pt>
                <c:pt idx="75">
                  <c:v>2.7398500000000001</c:v>
                </c:pt>
                <c:pt idx="76">
                  <c:v>2.7429000000000001</c:v>
                </c:pt>
                <c:pt idx="77">
                  <c:v>2.7458900000000002</c:v>
                </c:pt>
                <c:pt idx="78">
                  <c:v>2.7488199999999998</c:v>
                </c:pt>
                <c:pt idx="79">
                  <c:v>2.7517</c:v>
                </c:pt>
                <c:pt idx="80">
                  <c:v>2.7545199999999999</c:v>
                </c:pt>
              </c:numCache>
            </c:numRef>
          </c:xVal>
          <c:yVal>
            <c:numRef>
              <c:f>PullOutCylinder!$E$2:$E$82</c:f>
              <c:numCache>
                <c:formatCode>0.0000</c:formatCode>
                <c:ptCount val="8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3.7499999999999999E-2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0.1</c:v>
                </c:pt>
                <c:pt idx="9">
                  <c:v>0.1125</c:v>
                </c:pt>
                <c:pt idx="10">
                  <c:v>0.125</c:v>
                </c:pt>
                <c:pt idx="11">
                  <c:v>0.13750000000000001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0.17499999999999999</c:v>
                </c:pt>
                <c:pt idx="15">
                  <c:v>0.1875</c:v>
                </c:pt>
                <c:pt idx="16">
                  <c:v>0.2</c:v>
                </c:pt>
                <c:pt idx="17">
                  <c:v>0.21249999999999999</c:v>
                </c:pt>
                <c:pt idx="18">
                  <c:v>0.22500000000000001</c:v>
                </c:pt>
                <c:pt idx="19">
                  <c:v>0.23749999999999999</c:v>
                </c:pt>
                <c:pt idx="20">
                  <c:v>0.25</c:v>
                </c:pt>
                <c:pt idx="21">
                  <c:v>0.26250000000000001</c:v>
                </c:pt>
                <c:pt idx="22">
                  <c:v>0.27500000000000002</c:v>
                </c:pt>
                <c:pt idx="23">
                  <c:v>0.28749999999999998</c:v>
                </c:pt>
                <c:pt idx="24">
                  <c:v>0.3</c:v>
                </c:pt>
                <c:pt idx="25">
                  <c:v>0.3125</c:v>
                </c:pt>
                <c:pt idx="26">
                  <c:v>0.32500000000000001</c:v>
                </c:pt>
                <c:pt idx="27">
                  <c:v>0.33750000000000002</c:v>
                </c:pt>
                <c:pt idx="28">
                  <c:v>0.35</c:v>
                </c:pt>
                <c:pt idx="29">
                  <c:v>0.36249999999999999</c:v>
                </c:pt>
                <c:pt idx="30">
                  <c:v>0.375</c:v>
                </c:pt>
                <c:pt idx="31">
                  <c:v>0.38750000000000001</c:v>
                </c:pt>
                <c:pt idx="32">
                  <c:v>0.4</c:v>
                </c:pt>
                <c:pt idx="33">
                  <c:v>0.41249999999999998</c:v>
                </c:pt>
                <c:pt idx="34">
                  <c:v>0.42499999999999999</c:v>
                </c:pt>
                <c:pt idx="35">
                  <c:v>0.4375</c:v>
                </c:pt>
                <c:pt idx="36">
                  <c:v>0.45</c:v>
                </c:pt>
                <c:pt idx="37">
                  <c:v>0.46250000000000002</c:v>
                </c:pt>
                <c:pt idx="38">
                  <c:v>0.47499999999999998</c:v>
                </c:pt>
                <c:pt idx="39">
                  <c:v>0.48749999999999999</c:v>
                </c:pt>
                <c:pt idx="40">
                  <c:v>0.5</c:v>
                </c:pt>
                <c:pt idx="41">
                  <c:v>0.51249999999999996</c:v>
                </c:pt>
                <c:pt idx="42">
                  <c:v>0.52500000000000002</c:v>
                </c:pt>
                <c:pt idx="43">
                  <c:v>0.53749999999999998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0.58750000000000002</c:v>
                </c:pt>
                <c:pt idx="48">
                  <c:v>0.6</c:v>
                </c:pt>
                <c:pt idx="49">
                  <c:v>0.61250000000000004</c:v>
                </c:pt>
                <c:pt idx="50">
                  <c:v>0.625</c:v>
                </c:pt>
                <c:pt idx="51">
                  <c:v>0.63749999999999996</c:v>
                </c:pt>
                <c:pt idx="52">
                  <c:v>0.65</c:v>
                </c:pt>
                <c:pt idx="53">
                  <c:v>0.66249999999999998</c:v>
                </c:pt>
                <c:pt idx="54">
                  <c:v>0.67500000000000004</c:v>
                </c:pt>
                <c:pt idx="55">
                  <c:v>0.6875</c:v>
                </c:pt>
                <c:pt idx="56">
                  <c:v>0.7</c:v>
                </c:pt>
                <c:pt idx="57">
                  <c:v>0.71250000000000002</c:v>
                </c:pt>
                <c:pt idx="58">
                  <c:v>0.72499999999999998</c:v>
                </c:pt>
                <c:pt idx="59">
                  <c:v>0.73750000000000004</c:v>
                </c:pt>
                <c:pt idx="60">
                  <c:v>0.75</c:v>
                </c:pt>
                <c:pt idx="61">
                  <c:v>0.76249999999999996</c:v>
                </c:pt>
                <c:pt idx="62">
                  <c:v>0.77500000000000002</c:v>
                </c:pt>
                <c:pt idx="63">
                  <c:v>0.78749999999999998</c:v>
                </c:pt>
                <c:pt idx="64">
                  <c:v>0.8</c:v>
                </c:pt>
                <c:pt idx="65">
                  <c:v>0.8125</c:v>
                </c:pt>
                <c:pt idx="66">
                  <c:v>0.82499999999999996</c:v>
                </c:pt>
                <c:pt idx="67">
                  <c:v>0.83750000000000002</c:v>
                </c:pt>
                <c:pt idx="68">
                  <c:v>0.85</c:v>
                </c:pt>
                <c:pt idx="69">
                  <c:v>0.86250000000000004</c:v>
                </c:pt>
                <c:pt idx="70">
                  <c:v>0.875</c:v>
                </c:pt>
                <c:pt idx="71">
                  <c:v>0.88749999999999996</c:v>
                </c:pt>
                <c:pt idx="72">
                  <c:v>0.9</c:v>
                </c:pt>
                <c:pt idx="73">
                  <c:v>0.91249999999999998</c:v>
                </c:pt>
                <c:pt idx="74">
                  <c:v>0.92500000000000004</c:v>
                </c:pt>
                <c:pt idx="75">
                  <c:v>0.9375</c:v>
                </c:pt>
                <c:pt idx="76">
                  <c:v>0.95</c:v>
                </c:pt>
                <c:pt idx="77">
                  <c:v>0.96250000000000002</c:v>
                </c:pt>
                <c:pt idx="78">
                  <c:v>0.97499999999999998</c:v>
                </c:pt>
                <c:pt idx="79">
                  <c:v>0.98750000000000004</c:v>
                </c:pt>
                <c:pt idx="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2B-7340-896B-7271DB69911A}"/>
            </c:ext>
          </c:extLst>
        </c:ser>
        <c:ser>
          <c:idx val="3"/>
          <c:order val="4"/>
          <c:tx>
            <c:v>uB_Q8_12x18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PullOutCylinder!$G$2:$G$82</c:f>
              <c:numCache>
                <c:formatCode>0.00000</c:formatCode>
                <c:ptCount val="81"/>
                <c:pt idx="0">
                  <c:v>0</c:v>
                </c:pt>
                <c:pt idx="1">
                  <c:v>0.46835300000000002</c:v>
                </c:pt>
                <c:pt idx="2">
                  <c:v>0.86475100000000005</c:v>
                </c:pt>
                <c:pt idx="3">
                  <c:v>1.1954400000000001</c:v>
                </c:pt>
                <c:pt idx="4">
                  <c:v>1.4716400000000001</c:v>
                </c:pt>
                <c:pt idx="5">
                  <c:v>1.7041500000000001</c:v>
                </c:pt>
                <c:pt idx="6">
                  <c:v>1.9017299999999999</c:v>
                </c:pt>
                <c:pt idx="7">
                  <c:v>2.0712799999999998</c:v>
                </c:pt>
                <c:pt idx="8">
                  <c:v>2.2179600000000002</c:v>
                </c:pt>
                <c:pt idx="9">
                  <c:v>2.3456899999999998</c:v>
                </c:pt>
                <c:pt idx="10">
                  <c:v>2.4574500000000001</c:v>
                </c:pt>
                <c:pt idx="11">
                  <c:v>2.55565</c:v>
                </c:pt>
                <c:pt idx="12">
                  <c:v>2.6423199999999998</c:v>
                </c:pt>
                <c:pt idx="13">
                  <c:v>2.7192500000000002</c:v>
                </c:pt>
                <c:pt idx="14">
                  <c:v>2.7880099999999999</c:v>
                </c:pt>
                <c:pt idx="15">
                  <c:v>2.8499300000000001</c:v>
                </c:pt>
                <c:pt idx="16">
                  <c:v>2.9061300000000001</c:v>
                </c:pt>
                <c:pt idx="17">
                  <c:v>2.9575200000000001</c:v>
                </c:pt>
                <c:pt idx="18">
                  <c:v>3.00481</c:v>
                </c:pt>
                <c:pt idx="19">
                  <c:v>3.0486300000000002</c:v>
                </c:pt>
                <c:pt idx="20">
                  <c:v>3.0894400000000002</c:v>
                </c:pt>
                <c:pt idx="21">
                  <c:v>3.1276700000000002</c:v>
                </c:pt>
                <c:pt idx="22">
                  <c:v>3.16364</c:v>
                </c:pt>
                <c:pt idx="23">
                  <c:v>3.1976399999999998</c:v>
                </c:pt>
                <c:pt idx="24">
                  <c:v>3.2299099999999998</c:v>
                </c:pt>
                <c:pt idx="25">
                  <c:v>3.2606600000000001</c:v>
                </c:pt>
                <c:pt idx="26">
                  <c:v>3.2900800000000001</c:v>
                </c:pt>
                <c:pt idx="27">
                  <c:v>3.31833</c:v>
                </c:pt>
                <c:pt idx="28">
                  <c:v>3.3455499999999998</c:v>
                </c:pt>
                <c:pt idx="29">
                  <c:v>3.3718900000000001</c:v>
                </c:pt>
                <c:pt idx="30">
                  <c:v>3.3974700000000002</c:v>
                </c:pt>
                <c:pt idx="31">
                  <c:v>3.4224199999999998</c:v>
                </c:pt>
                <c:pt idx="32">
                  <c:v>3.44686</c:v>
                </c:pt>
                <c:pt idx="33">
                  <c:v>3.47092</c:v>
                </c:pt>
                <c:pt idx="34">
                  <c:v>3.4947699999999999</c:v>
                </c:pt>
                <c:pt idx="35">
                  <c:v>3.5185900000000001</c:v>
                </c:pt>
                <c:pt idx="36">
                  <c:v>3.54264</c:v>
                </c:pt>
                <c:pt idx="37">
                  <c:v>3.5672799999999998</c:v>
                </c:pt>
                <c:pt idx="38">
                  <c:v>3.5931099999999998</c:v>
                </c:pt>
                <c:pt idx="39">
                  <c:v>3.62134</c:v>
                </c:pt>
                <c:pt idx="40">
                  <c:v>3.6548500000000002</c:v>
                </c:pt>
                <c:pt idx="41">
                  <c:v>3.7048299999999998</c:v>
                </c:pt>
                <c:pt idx="42">
                  <c:v>4.0779800000000002</c:v>
                </c:pt>
                <c:pt idx="43">
                  <c:v>4.1430100000000003</c:v>
                </c:pt>
                <c:pt idx="44">
                  <c:v>4.1856900000000001</c:v>
                </c:pt>
                <c:pt idx="45">
                  <c:v>4.2185199999999998</c:v>
                </c:pt>
                <c:pt idx="46">
                  <c:v>4.2455600000000002</c:v>
                </c:pt>
                <c:pt idx="47">
                  <c:v>4.2687200000000001</c:v>
                </c:pt>
                <c:pt idx="48">
                  <c:v>4.2890899999999998</c:v>
                </c:pt>
                <c:pt idx="49">
                  <c:v>4.3073199999999998</c:v>
                </c:pt>
                <c:pt idx="50">
                  <c:v>4.3238700000000003</c:v>
                </c:pt>
                <c:pt idx="51">
                  <c:v>4.3390399999999998</c:v>
                </c:pt>
                <c:pt idx="52">
                  <c:v>4.3530899999999999</c:v>
                </c:pt>
                <c:pt idx="53">
                  <c:v>4.3661700000000003</c:v>
                </c:pt>
                <c:pt idx="54">
                  <c:v>4.3784200000000002</c:v>
                </c:pt>
                <c:pt idx="55">
                  <c:v>4.3899600000000003</c:v>
                </c:pt>
                <c:pt idx="56">
                  <c:v>4.4008900000000004</c:v>
                </c:pt>
                <c:pt idx="57">
                  <c:v>4.4112499999999999</c:v>
                </c:pt>
                <c:pt idx="58">
                  <c:v>4.4211099999999997</c:v>
                </c:pt>
                <c:pt idx="59">
                  <c:v>4.4305300000000001</c:v>
                </c:pt>
                <c:pt idx="60">
                  <c:v>4.4395499999999997</c:v>
                </c:pt>
                <c:pt idx="61">
                  <c:v>4.4482100000000004</c:v>
                </c:pt>
                <c:pt idx="62">
                  <c:v>4.4565400000000004</c:v>
                </c:pt>
                <c:pt idx="63">
                  <c:v>4.4645599999999996</c:v>
                </c:pt>
                <c:pt idx="64">
                  <c:v>4.4722999999999997</c:v>
                </c:pt>
                <c:pt idx="65">
                  <c:v>4.4797799999999999</c:v>
                </c:pt>
                <c:pt idx="66">
                  <c:v>4.4870299999999999</c:v>
                </c:pt>
                <c:pt idx="67">
                  <c:v>4.4940499999999997</c:v>
                </c:pt>
                <c:pt idx="68">
                  <c:v>4.5008600000000003</c:v>
                </c:pt>
                <c:pt idx="69">
                  <c:v>4.5074800000000002</c:v>
                </c:pt>
                <c:pt idx="70">
                  <c:v>4.5139199999999997</c:v>
                </c:pt>
                <c:pt idx="71">
                  <c:v>4.5201900000000004</c:v>
                </c:pt>
                <c:pt idx="72">
                  <c:v>4.5263</c:v>
                </c:pt>
                <c:pt idx="73">
                  <c:v>4.53226</c:v>
                </c:pt>
                <c:pt idx="74">
                  <c:v>4.5380700000000003</c:v>
                </c:pt>
                <c:pt idx="75">
                  <c:v>4.5437500000000002</c:v>
                </c:pt>
                <c:pt idx="76">
                  <c:v>4.5493100000000002</c:v>
                </c:pt>
                <c:pt idx="77">
                  <c:v>4.5547399999999998</c:v>
                </c:pt>
                <c:pt idx="78">
                  <c:v>4.56006</c:v>
                </c:pt>
                <c:pt idx="79">
                  <c:v>4.5652600000000003</c:v>
                </c:pt>
                <c:pt idx="80">
                  <c:v>4.5703699999999996</c:v>
                </c:pt>
              </c:numCache>
            </c:numRef>
          </c:xVal>
          <c:yVal>
            <c:numRef>
              <c:f>PullOutCylinder!$E$2:$E$82</c:f>
              <c:numCache>
                <c:formatCode>0.0000</c:formatCode>
                <c:ptCount val="8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3.7499999999999999E-2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0.1</c:v>
                </c:pt>
                <c:pt idx="9">
                  <c:v>0.1125</c:v>
                </c:pt>
                <c:pt idx="10">
                  <c:v>0.125</c:v>
                </c:pt>
                <c:pt idx="11">
                  <c:v>0.13750000000000001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0.17499999999999999</c:v>
                </c:pt>
                <c:pt idx="15">
                  <c:v>0.1875</c:v>
                </c:pt>
                <c:pt idx="16">
                  <c:v>0.2</c:v>
                </c:pt>
                <c:pt idx="17">
                  <c:v>0.21249999999999999</c:v>
                </c:pt>
                <c:pt idx="18">
                  <c:v>0.22500000000000001</c:v>
                </c:pt>
                <c:pt idx="19">
                  <c:v>0.23749999999999999</c:v>
                </c:pt>
                <c:pt idx="20">
                  <c:v>0.25</c:v>
                </c:pt>
                <c:pt idx="21">
                  <c:v>0.26250000000000001</c:v>
                </c:pt>
                <c:pt idx="22">
                  <c:v>0.27500000000000002</c:v>
                </c:pt>
                <c:pt idx="23">
                  <c:v>0.28749999999999998</c:v>
                </c:pt>
                <c:pt idx="24">
                  <c:v>0.3</c:v>
                </c:pt>
                <c:pt idx="25">
                  <c:v>0.3125</c:v>
                </c:pt>
                <c:pt idx="26">
                  <c:v>0.32500000000000001</c:v>
                </c:pt>
                <c:pt idx="27">
                  <c:v>0.33750000000000002</c:v>
                </c:pt>
                <c:pt idx="28">
                  <c:v>0.35</c:v>
                </c:pt>
                <c:pt idx="29">
                  <c:v>0.36249999999999999</c:v>
                </c:pt>
                <c:pt idx="30">
                  <c:v>0.375</c:v>
                </c:pt>
                <c:pt idx="31">
                  <c:v>0.38750000000000001</c:v>
                </c:pt>
                <c:pt idx="32">
                  <c:v>0.4</c:v>
                </c:pt>
                <c:pt idx="33">
                  <c:v>0.41249999999999998</c:v>
                </c:pt>
                <c:pt idx="34">
                  <c:v>0.42499999999999999</c:v>
                </c:pt>
                <c:pt idx="35">
                  <c:v>0.4375</c:v>
                </c:pt>
                <c:pt idx="36">
                  <c:v>0.45</c:v>
                </c:pt>
                <c:pt idx="37">
                  <c:v>0.46250000000000002</c:v>
                </c:pt>
                <c:pt idx="38">
                  <c:v>0.47499999999999998</c:v>
                </c:pt>
                <c:pt idx="39">
                  <c:v>0.48749999999999999</c:v>
                </c:pt>
                <c:pt idx="40">
                  <c:v>0.5</c:v>
                </c:pt>
                <c:pt idx="41">
                  <c:v>0.51249999999999996</c:v>
                </c:pt>
                <c:pt idx="42">
                  <c:v>0.52500000000000002</c:v>
                </c:pt>
                <c:pt idx="43">
                  <c:v>0.53749999999999998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0.58750000000000002</c:v>
                </c:pt>
                <c:pt idx="48">
                  <c:v>0.6</c:v>
                </c:pt>
                <c:pt idx="49">
                  <c:v>0.61250000000000004</c:v>
                </c:pt>
                <c:pt idx="50">
                  <c:v>0.625</c:v>
                </c:pt>
                <c:pt idx="51">
                  <c:v>0.63749999999999996</c:v>
                </c:pt>
                <c:pt idx="52">
                  <c:v>0.65</c:v>
                </c:pt>
                <c:pt idx="53">
                  <c:v>0.66249999999999998</c:v>
                </c:pt>
                <c:pt idx="54">
                  <c:v>0.67500000000000004</c:v>
                </c:pt>
                <c:pt idx="55">
                  <c:v>0.6875</c:v>
                </c:pt>
                <c:pt idx="56">
                  <c:v>0.7</c:v>
                </c:pt>
                <c:pt idx="57">
                  <c:v>0.71250000000000002</c:v>
                </c:pt>
                <c:pt idx="58">
                  <c:v>0.72499999999999998</c:v>
                </c:pt>
                <c:pt idx="59">
                  <c:v>0.73750000000000004</c:v>
                </c:pt>
                <c:pt idx="60">
                  <c:v>0.75</c:v>
                </c:pt>
                <c:pt idx="61">
                  <c:v>0.76249999999999996</c:v>
                </c:pt>
                <c:pt idx="62">
                  <c:v>0.77500000000000002</c:v>
                </c:pt>
                <c:pt idx="63">
                  <c:v>0.78749999999999998</c:v>
                </c:pt>
                <c:pt idx="64">
                  <c:v>0.8</c:v>
                </c:pt>
                <c:pt idx="65">
                  <c:v>0.8125</c:v>
                </c:pt>
                <c:pt idx="66">
                  <c:v>0.82499999999999996</c:v>
                </c:pt>
                <c:pt idx="67">
                  <c:v>0.83750000000000002</c:v>
                </c:pt>
                <c:pt idx="68">
                  <c:v>0.85</c:v>
                </c:pt>
                <c:pt idx="69">
                  <c:v>0.86250000000000004</c:v>
                </c:pt>
                <c:pt idx="70">
                  <c:v>0.875</c:v>
                </c:pt>
                <c:pt idx="71">
                  <c:v>0.88749999999999996</c:v>
                </c:pt>
                <c:pt idx="72">
                  <c:v>0.9</c:v>
                </c:pt>
                <c:pt idx="73">
                  <c:v>0.91249999999999998</c:v>
                </c:pt>
                <c:pt idx="74">
                  <c:v>0.92500000000000004</c:v>
                </c:pt>
                <c:pt idx="75">
                  <c:v>0.9375</c:v>
                </c:pt>
                <c:pt idx="76">
                  <c:v>0.95</c:v>
                </c:pt>
                <c:pt idx="77">
                  <c:v>0.96250000000000002</c:v>
                </c:pt>
                <c:pt idx="78">
                  <c:v>0.97499999999999998</c:v>
                </c:pt>
                <c:pt idx="79">
                  <c:v>0.98750000000000004</c:v>
                </c:pt>
                <c:pt idx="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2B-7340-896B-7271DB69911A}"/>
            </c:ext>
          </c:extLst>
        </c:ser>
        <c:ser>
          <c:idx val="5"/>
          <c:order val="5"/>
          <c:tx>
            <c:v>uC_Q8_12x18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PullOutCylinder!$H$2:$H$82</c:f>
              <c:numCache>
                <c:formatCode>0.00000</c:formatCode>
                <c:ptCount val="81"/>
                <c:pt idx="0">
                  <c:v>0</c:v>
                </c:pt>
                <c:pt idx="1">
                  <c:v>0.47169299999999997</c:v>
                </c:pt>
                <c:pt idx="2">
                  <c:v>0.87281200000000003</c:v>
                </c:pt>
                <c:pt idx="3">
                  <c:v>1.2098899999999999</c:v>
                </c:pt>
                <c:pt idx="4">
                  <c:v>1.49437</c:v>
                </c:pt>
                <c:pt idx="5">
                  <c:v>1.7372000000000001</c:v>
                </c:pt>
                <c:pt idx="6">
                  <c:v>1.94729</c:v>
                </c:pt>
                <c:pt idx="7">
                  <c:v>2.1315599999999999</c:v>
                </c:pt>
                <c:pt idx="8">
                  <c:v>2.2950200000000001</c:v>
                </c:pt>
                <c:pt idx="9">
                  <c:v>2.4411100000000001</c:v>
                </c:pt>
                <c:pt idx="10">
                  <c:v>2.5720299999999998</c:v>
                </c:pt>
                <c:pt idx="11">
                  <c:v>2.68919</c:v>
                </c:pt>
                <c:pt idx="12">
                  <c:v>2.79366</c:v>
                </c:pt>
                <c:pt idx="13">
                  <c:v>2.8865599999999998</c:v>
                </c:pt>
                <c:pt idx="14">
                  <c:v>2.9691299999999998</c:v>
                </c:pt>
                <c:pt idx="15">
                  <c:v>3.0426700000000002</c:v>
                </c:pt>
                <c:pt idx="16">
                  <c:v>3.1084200000000002</c:v>
                </c:pt>
                <c:pt idx="17">
                  <c:v>3.1674500000000001</c:v>
                </c:pt>
                <c:pt idx="18">
                  <c:v>3.22072</c:v>
                </c:pt>
                <c:pt idx="19">
                  <c:v>3.2690199999999998</c:v>
                </c:pt>
                <c:pt idx="20">
                  <c:v>3.3129900000000001</c:v>
                </c:pt>
                <c:pt idx="21">
                  <c:v>3.3532000000000002</c:v>
                </c:pt>
                <c:pt idx="22">
                  <c:v>3.3900800000000002</c:v>
                </c:pt>
                <c:pt idx="23">
                  <c:v>3.4240300000000001</c:v>
                </c:pt>
                <c:pt idx="24">
                  <c:v>3.4553600000000002</c:v>
                </c:pt>
                <c:pt idx="25">
                  <c:v>3.48434</c:v>
                </c:pt>
                <c:pt idx="26">
                  <c:v>3.5112000000000001</c:v>
                </c:pt>
                <c:pt idx="27">
                  <c:v>3.5361199999999999</c:v>
                </c:pt>
                <c:pt idx="28">
                  <c:v>3.5592800000000002</c:v>
                </c:pt>
                <c:pt idx="29">
                  <c:v>3.5808</c:v>
                </c:pt>
                <c:pt idx="30">
                  <c:v>3.6008</c:v>
                </c:pt>
                <c:pt idx="31">
                  <c:v>3.6193900000000001</c:v>
                </c:pt>
                <c:pt idx="32">
                  <c:v>3.6366200000000002</c:v>
                </c:pt>
                <c:pt idx="33">
                  <c:v>3.6525500000000002</c:v>
                </c:pt>
                <c:pt idx="34">
                  <c:v>3.66723</c:v>
                </c:pt>
                <c:pt idx="35">
                  <c:v>3.68065</c:v>
                </c:pt>
                <c:pt idx="36">
                  <c:v>3.69279</c:v>
                </c:pt>
                <c:pt idx="37">
                  <c:v>3.7035800000000001</c:v>
                </c:pt>
                <c:pt idx="38">
                  <c:v>3.7128199999999998</c:v>
                </c:pt>
                <c:pt idx="39">
                  <c:v>3.7201599999999999</c:v>
                </c:pt>
                <c:pt idx="40">
                  <c:v>3.7246700000000001</c:v>
                </c:pt>
                <c:pt idx="41">
                  <c:v>3.72315</c:v>
                </c:pt>
                <c:pt idx="42">
                  <c:v>3.5805500000000001</c:v>
                </c:pt>
                <c:pt idx="43">
                  <c:v>3.5435300000000001</c:v>
                </c:pt>
                <c:pt idx="44">
                  <c:v>3.5177399999999999</c:v>
                </c:pt>
                <c:pt idx="45">
                  <c:v>3.4971999999999999</c:v>
                </c:pt>
                <c:pt idx="46">
                  <c:v>3.4799000000000002</c:v>
                </c:pt>
                <c:pt idx="47">
                  <c:v>3.4648400000000001</c:v>
                </c:pt>
                <c:pt idx="48">
                  <c:v>3.4514499999999999</c:v>
                </c:pt>
                <c:pt idx="49">
                  <c:v>3.4393600000000002</c:v>
                </c:pt>
                <c:pt idx="50">
                  <c:v>3.4283199999999998</c:v>
                </c:pt>
                <c:pt idx="51">
                  <c:v>3.4181599999999999</c:v>
                </c:pt>
                <c:pt idx="52">
                  <c:v>3.4087299999999998</c:v>
                </c:pt>
                <c:pt idx="53">
                  <c:v>3.3999299999999999</c:v>
                </c:pt>
                <c:pt idx="54">
                  <c:v>3.39168</c:v>
                </c:pt>
                <c:pt idx="55">
                  <c:v>3.3839000000000001</c:v>
                </c:pt>
                <c:pt idx="56">
                  <c:v>3.3765399999999999</c:v>
                </c:pt>
                <c:pt idx="57">
                  <c:v>3.36958</c:v>
                </c:pt>
                <c:pt idx="58">
                  <c:v>3.3629600000000002</c:v>
                </c:pt>
                <c:pt idx="59">
                  <c:v>3.3566600000000002</c:v>
                </c:pt>
                <c:pt idx="60">
                  <c:v>3.3506300000000002</c:v>
                </c:pt>
                <c:pt idx="61">
                  <c:v>3.3448500000000001</c:v>
                </c:pt>
                <c:pt idx="62">
                  <c:v>3.3393199999999998</c:v>
                </c:pt>
                <c:pt idx="63">
                  <c:v>3.3340000000000001</c:v>
                </c:pt>
                <c:pt idx="64">
                  <c:v>3.3288799999999998</c:v>
                </c:pt>
                <c:pt idx="65">
                  <c:v>3.32395</c:v>
                </c:pt>
                <c:pt idx="66">
                  <c:v>3.3191799999999998</c:v>
                </c:pt>
                <c:pt idx="67">
                  <c:v>3.3145799999999999</c:v>
                </c:pt>
                <c:pt idx="68">
                  <c:v>3.31013</c:v>
                </c:pt>
                <c:pt idx="69">
                  <c:v>3.3058200000000002</c:v>
                </c:pt>
                <c:pt idx="70">
                  <c:v>3.3016399999999999</c:v>
                </c:pt>
                <c:pt idx="71">
                  <c:v>3.29758</c:v>
                </c:pt>
                <c:pt idx="72">
                  <c:v>3.2936399999999999</c:v>
                </c:pt>
                <c:pt idx="73">
                  <c:v>3.2898100000000001</c:v>
                </c:pt>
                <c:pt idx="74">
                  <c:v>3.2860800000000001</c:v>
                </c:pt>
                <c:pt idx="75">
                  <c:v>3.2824399999999998</c:v>
                </c:pt>
                <c:pt idx="76">
                  <c:v>3.2789000000000001</c:v>
                </c:pt>
                <c:pt idx="77">
                  <c:v>3.2754400000000001</c:v>
                </c:pt>
                <c:pt idx="78">
                  <c:v>3.2720699999999998</c:v>
                </c:pt>
                <c:pt idx="79">
                  <c:v>3.26877</c:v>
                </c:pt>
                <c:pt idx="80">
                  <c:v>3.2655500000000002</c:v>
                </c:pt>
              </c:numCache>
            </c:numRef>
          </c:xVal>
          <c:yVal>
            <c:numRef>
              <c:f>PullOutCylinder!$E$2:$E$82</c:f>
              <c:numCache>
                <c:formatCode>0.0000</c:formatCode>
                <c:ptCount val="81"/>
                <c:pt idx="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3.7499999999999999E-2</c:v>
                </c:pt>
                <c:pt idx="4">
                  <c:v>0.05</c:v>
                </c:pt>
                <c:pt idx="5">
                  <c:v>6.25E-2</c:v>
                </c:pt>
                <c:pt idx="6">
                  <c:v>7.4999999999999997E-2</c:v>
                </c:pt>
                <c:pt idx="7">
                  <c:v>8.7499999999999994E-2</c:v>
                </c:pt>
                <c:pt idx="8">
                  <c:v>0.1</c:v>
                </c:pt>
                <c:pt idx="9">
                  <c:v>0.1125</c:v>
                </c:pt>
                <c:pt idx="10">
                  <c:v>0.125</c:v>
                </c:pt>
                <c:pt idx="11">
                  <c:v>0.13750000000000001</c:v>
                </c:pt>
                <c:pt idx="12">
                  <c:v>0.15</c:v>
                </c:pt>
                <c:pt idx="13">
                  <c:v>0.16250000000000001</c:v>
                </c:pt>
                <c:pt idx="14">
                  <c:v>0.17499999999999999</c:v>
                </c:pt>
                <c:pt idx="15">
                  <c:v>0.1875</c:v>
                </c:pt>
                <c:pt idx="16">
                  <c:v>0.2</c:v>
                </c:pt>
                <c:pt idx="17">
                  <c:v>0.21249999999999999</c:v>
                </c:pt>
                <c:pt idx="18">
                  <c:v>0.22500000000000001</c:v>
                </c:pt>
                <c:pt idx="19">
                  <c:v>0.23749999999999999</c:v>
                </c:pt>
                <c:pt idx="20">
                  <c:v>0.25</c:v>
                </c:pt>
                <c:pt idx="21">
                  <c:v>0.26250000000000001</c:v>
                </c:pt>
                <c:pt idx="22">
                  <c:v>0.27500000000000002</c:v>
                </c:pt>
                <c:pt idx="23">
                  <c:v>0.28749999999999998</c:v>
                </c:pt>
                <c:pt idx="24">
                  <c:v>0.3</c:v>
                </c:pt>
                <c:pt idx="25">
                  <c:v>0.3125</c:v>
                </c:pt>
                <c:pt idx="26">
                  <c:v>0.32500000000000001</c:v>
                </c:pt>
                <c:pt idx="27">
                  <c:v>0.33750000000000002</c:v>
                </c:pt>
                <c:pt idx="28">
                  <c:v>0.35</c:v>
                </c:pt>
                <c:pt idx="29">
                  <c:v>0.36249999999999999</c:v>
                </c:pt>
                <c:pt idx="30">
                  <c:v>0.375</c:v>
                </c:pt>
                <c:pt idx="31">
                  <c:v>0.38750000000000001</c:v>
                </c:pt>
                <c:pt idx="32">
                  <c:v>0.4</c:v>
                </c:pt>
                <c:pt idx="33">
                  <c:v>0.41249999999999998</c:v>
                </c:pt>
                <c:pt idx="34">
                  <c:v>0.42499999999999999</c:v>
                </c:pt>
                <c:pt idx="35">
                  <c:v>0.4375</c:v>
                </c:pt>
                <c:pt idx="36">
                  <c:v>0.45</c:v>
                </c:pt>
                <c:pt idx="37">
                  <c:v>0.46250000000000002</c:v>
                </c:pt>
                <c:pt idx="38">
                  <c:v>0.47499999999999998</c:v>
                </c:pt>
                <c:pt idx="39">
                  <c:v>0.48749999999999999</c:v>
                </c:pt>
                <c:pt idx="40">
                  <c:v>0.5</c:v>
                </c:pt>
                <c:pt idx="41">
                  <c:v>0.51249999999999996</c:v>
                </c:pt>
                <c:pt idx="42">
                  <c:v>0.52500000000000002</c:v>
                </c:pt>
                <c:pt idx="43">
                  <c:v>0.53749999999999998</c:v>
                </c:pt>
                <c:pt idx="44">
                  <c:v>0.55000000000000004</c:v>
                </c:pt>
                <c:pt idx="45">
                  <c:v>0.5625</c:v>
                </c:pt>
                <c:pt idx="46">
                  <c:v>0.57499999999999996</c:v>
                </c:pt>
                <c:pt idx="47">
                  <c:v>0.58750000000000002</c:v>
                </c:pt>
                <c:pt idx="48">
                  <c:v>0.6</c:v>
                </c:pt>
                <c:pt idx="49">
                  <c:v>0.61250000000000004</c:v>
                </c:pt>
                <c:pt idx="50">
                  <c:v>0.625</c:v>
                </c:pt>
                <c:pt idx="51">
                  <c:v>0.63749999999999996</c:v>
                </c:pt>
                <c:pt idx="52">
                  <c:v>0.65</c:v>
                </c:pt>
                <c:pt idx="53">
                  <c:v>0.66249999999999998</c:v>
                </c:pt>
                <c:pt idx="54">
                  <c:v>0.67500000000000004</c:v>
                </c:pt>
                <c:pt idx="55">
                  <c:v>0.6875</c:v>
                </c:pt>
                <c:pt idx="56">
                  <c:v>0.7</c:v>
                </c:pt>
                <c:pt idx="57">
                  <c:v>0.71250000000000002</c:v>
                </c:pt>
                <c:pt idx="58">
                  <c:v>0.72499999999999998</c:v>
                </c:pt>
                <c:pt idx="59">
                  <c:v>0.73750000000000004</c:v>
                </c:pt>
                <c:pt idx="60">
                  <c:v>0.75</c:v>
                </c:pt>
                <c:pt idx="61">
                  <c:v>0.76249999999999996</c:v>
                </c:pt>
                <c:pt idx="62">
                  <c:v>0.77500000000000002</c:v>
                </c:pt>
                <c:pt idx="63">
                  <c:v>0.78749999999999998</c:v>
                </c:pt>
                <c:pt idx="64">
                  <c:v>0.8</c:v>
                </c:pt>
                <c:pt idx="65">
                  <c:v>0.8125</c:v>
                </c:pt>
                <c:pt idx="66">
                  <c:v>0.82499999999999996</c:v>
                </c:pt>
                <c:pt idx="67">
                  <c:v>0.83750000000000002</c:v>
                </c:pt>
                <c:pt idx="68">
                  <c:v>0.85</c:v>
                </c:pt>
                <c:pt idx="69">
                  <c:v>0.86250000000000004</c:v>
                </c:pt>
                <c:pt idx="70">
                  <c:v>0.875</c:v>
                </c:pt>
                <c:pt idx="71">
                  <c:v>0.88749999999999996</c:v>
                </c:pt>
                <c:pt idx="72">
                  <c:v>0.9</c:v>
                </c:pt>
                <c:pt idx="73">
                  <c:v>0.91249999999999998</c:v>
                </c:pt>
                <c:pt idx="74">
                  <c:v>0.92500000000000004</c:v>
                </c:pt>
                <c:pt idx="75">
                  <c:v>0.9375</c:v>
                </c:pt>
                <c:pt idx="76">
                  <c:v>0.95</c:v>
                </c:pt>
                <c:pt idx="77">
                  <c:v>0.96250000000000002</c:v>
                </c:pt>
                <c:pt idx="78">
                  <c:v>0.97499999999999998</c:v>
                </c:pt>
                <c:pt idx="79">
                  <c:v>0.98750000000000004</c:v>
                </c:pt>
                <c:pt idx="8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32B-7340-896B-7271DB69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u,w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wA_Sze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PinchedCylinder!$B$2:$B$25</c:f>
              <c:numCache>
                <c:formatCode>0.000</c:formatCode>
                <c:ptCount val="24"/>
                <c:pt idx="0">
                  <c:v>0</c:v>
                </c:pt>
                <c:pt idx="1">
                  <c:v>9.5609999999999999</c:v>
                </c:pt>
                <c:pt idx="2">
                  <c:v>15.648</c:v>
                </c:pt>
                <c:pt idx="3">
                  <c:v>23.164000000000001</c:v>
                </c:pt>
                <c:pt idx="4">
                  <c:v>29.375</c:v>
                </c:pt>
                <c:pt idx="5">
                  <c:v>36.207999999999998</c:v>
                </c:pt>
                <c:pt idx="6">
                  <c:v>51.499000000000002</c:v>
                </c:pt>
                <c:pt idx="7">
                  <c:v>56.372999999999998</c:v>
                </c:pt>
                <c:pt idx="8">
                  <c:v>61.877000000000002</c:v>
                </c:pt>
                <c:pt idx="9">
                  <c:v>65.498000000000005</c:v>
                </c:pt>
                <c:pt idx="10">
                  <c:v>68.228999999999999</c:v>
                </c:pt>
                <c:pt idx="11">
                  <c:v>70.424000000000007</c:v>
                </c:pt>
                <c:pt idx="12">
                  <c:v>72.203999999999994</c:v>
                </c:pt>
                <c:pt idx="13">
                  <c:v>73.790000000000006</c:v>
                </c:pt>
                <c:pt idx="14">
                  <c:v>75.138999999999996</c:v>
                </c:pt>
                <c:pt idx="15">
                  <c:v>76.331000000000003</c:v>
                </c:pt>
                <c:pt idx="16">
                  <c:v>77.471999999999994</c:v>
                </c:pt>
                <c:pt idx="17">
                  <c:v>78.450999999999993</c:v>
                </c:pt>
                <c:pt idx="18">
                  <c:v>79.338999999999999</c:v>
                </c:pt>
                <c:pt idx="19">
                  <c:v>80.218000000000004</c:v>
                </c:pt>
                <c:pt idx="20">
                  <c:v>81.045000000000002</c:v>
                </c:pt>
                <c:pt idx="21">
                  <c:v>81.766000000000005</c:v>
                </c:pt>
                <c:pt idx="22">
                  <c:v>82.435000000000002</c:v>
                </c:pt>
                <c:pt idx="23">
                  <c:v>83.102000000000004</c:v>
                </c:pt>
              </c:numCache>
            </c:numRef>
          </c:xVal>
          <c:yVal>
            <c:numRef>
              <c:f>PinchedCylinder!$A$2:$A$25</c:f>
              <c:numCache>
                <c:formatCode>0.000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1-AE48-9F0F-C298BE064D3E}"/>
            </c:ext>
          </c:extLst>
        </c:ser>
        <c:ser>
          <c:idx val="1"/>
          <c:order val="1"/>
          <c:tx>
            <c:v>uB_Sze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PinchedCylinder!$C$2:$C$25</c:f>
              <c:numCache>
                <c:formatCode>0.000</c:formatCode>
                <c:ptCount val="24"/>
                <c:pt idx="0">
                  <c:v>0</c:v>
                </c:pt>
                <c:pt idx="1">
                  <c:v>-0.23300000000000001</c:v>
                </c:pt>
                <c:pt idx="2">
                  <c:v>-0.92200000000000004</c:v>
                </c:pt>
                <c:pt idx="3">
                  <c:v>-2.391</c:v>
                </c:pt>
                <c:pt idx="4">
                  <c:v>-3.8719999999999999</c:v>
                </c:pt>
                <c:pt idx="5">
                  <c:v>-2.1539999999999999</c:v>
                </c:pt>
                <c:pt idx="6">
                  <c:v>6.7919999999999998</c:v>
                </c:pt>
                <c:pt idx="7">
                  <c:v>10.448</c:v>
                </c:pt>
                <c:pt idx="8">
                  <c:v>14.904999999999999</c:v>
                </c:pt>
                <c:pt idx="9">
                  <c:v>17.978999999999999</c:v>
                </c:pt>
                <c:pt idx="10">
                  <c:v>20.364999999999998</c:v>
                </c:pt>
                <c:pt idx="11">
                  <c:v>22.321000000000002</c:v>
                </c:pt>
                <c:pt idx="12">
                  <c:v>23.916</c:v>
                </c:pt>
                <c:pt idx="13">
                  <c:v>25.381</c:v>
                </c:pt>
                <c:pt idx="14">
                  <c:v>26.631</c:v>
                </c:pt>
                <c:pt idx="15">
                  <c:v>27.734999999999999</c:v>
                </c:pt>
                <c:pt idx="16">
                  <c:v>28.843</c:v>
                </c:pt>
                <c:pt idx="17">
                  <c:v>29.771999999999998</c:v>
                </c:pt>
                <c:pt idx="18">
                  <c:v>30.603999999999999</c:v>
                </c:pt>
                <c:pt idx="19">
                  <c:v>31.471</c:v>
                </c:pt>
                <c:pt idx="20">
                  <c:v>32.298999999999999</c:v>
                </c:pt>
                <c:pt idx="21">
                  <c:v>32.988999999999997</c:v>
                </c:pt>
                <c:pt idx="22">
                  <c:v>33.619</c:v>
                </c:pt>
                <c:pt idx="23">
                  <c:v>34.271999999999998</c:v>
                </c:pt>
              </c:numCache>
            </c:numRef>
          </c:xVal>
          <c:yVal>
            <c:numRef>
              <c:f>PinchedCylinder!$A$2:$A$25</c:f>
              <c:numCache>
                <c:formatCode>0.000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0.125</c:v>
                </c:pt>
                <c:pt idx="5">
                  <c:v>0.15</c:v>
                </c:pt>
                <c:pt idx="6">
                  <c:v>0.17499999999999999</c:v>
                </c:pt>
                <c:pt idx="7">
                  <c:v>0.2</c:v>
                </c:pt>
                <c:pt idx="8">
                  <c:v>0.25</c:v>
                </c:pt>
                <c:pt idx="9">
                  <c:v>0.3</c:v>
                </c:pt>
                <c:pt idx="10">
                  <c:v>0.35</c:v>
                </c:pt>
                <c:pt idx="11">
                  <c:v>0.4</c:v>
                </c:pt>
                <c:pt idx="12">
                  <c:v>0.45</c:v>
                </c:pt>
                <c:pt idx="13">
                  <c:v>0.5</c:v>
                </c:pt>
                <c:pt idx="14">
                  <c:v>0.55000000000000004</c:v>
                </c:pt>
                <c:pt idx="15">
                  <c:v>0.6</c:v>
                </c:pt>
                <c:pt idx="16">
                  <c:v>0.65</c:v>
                </c:pt>
                <c:pt idx="17">
                  <c:v>0.7</c:v>
                </c:pt>
                <c:pt idx="18">
                  <c:v>0.75</c:v>
                </c:pt>
                <c:pt idx="19">
                  <c:v>0.8</c:v>
                </c:pt>
                <c:pt idx="20">
                  <c:v>0.85</c:v>
                </c:pt>
                <c:pt idx="21">
                  <c:v>0.9</c:v>
                </c:pt>
                <c:pt idx="22">
                  <c:v>0.95</c:v>
                </c:pt>
                <c:pt idx="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B1-AE48-9F0F-C298BE064D3E}"/>
            </c:ext>
          </c:extLst>
        </c:ser>
        <c:ser>
          <c:idx val="4"/>
          <c:order val="2"/>
          <c:tx>
            <c:v>wA_S8R_40x40</c:v>
          </c:tx>
          <c:spPr>
            <a:ln w="19050" cap="rnd">
              <a:solidFill>
                <a:srgbClr val="0432F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PinchedCylinder!$E$2:$E$82</c:f>
              <c:numCache>
                <c:formatCode>0.00</c:formatCode>
                <c:ptCount val="81"/>
                <c:pt idx="0">
                  <c:v>0</c:v>
                </c:pt>
                <c:pt idx="1">
                  <c:v>6.3232900000000001</c:v>
                </c:pt>
                <c:pt idx="2">
                  <c:v>10.3103</c:v>
                </c:pt>
                <c:pt idx="3">
                  <c:v>13.6159</c:v>
                </c:pt>
                <c:pt idx="4">
                  <c:v>16.591999999999999</c:v>
                </c:pt>
                <c:pt idx="5">
                  <c:v>19.386299999999999</c:v>
                </c:pt>
                <c:pt idx="6">
                  <c:v>22.063800000000001</c:v>
                </c:pt>
                <c:pt idx="7">
                  <c:v>24.663499999999999</c:v>
                </c:pt>
                <c:pt idx="8">
                  <c:v>27.211300000000001</c:v>
                </c:pt>
                <c:pt idx="9">
                  <c:v>29.709800000000001</c:v>
                </c:pt>
                <c:pt idx="10">
                  <c:v>32.1083</c:v>
                </c:pt>
                <c:pt idx="11">
                  <c:v>34.3857</c:v>
                </c:pt>
                <c:pt idx="12">
                  <c:v>36.570500000000003</c:v>
                </c:pt>
                <c:pt idx="13">
                  <c:v>38.686799999999998</c:v>
                </c:pt>
                <c:pt idx="14">
                  <c:v>40.751899999999999</c:v>
                </c:pt>
                <c:pt idx="15">
                  <c:v>42.778399999999998</c:v>
                </c:pt>
                <c:pt idx="16">
                  <c:v>44.775700000000001</c:v>
                </c:pt>
                <c:pt idx="17">
                  <c:v>46.7517</c:v>
                </c:pt>
                <c:pt idx="18">
                  <c:v>48.7119</c:v>
                </c:pt>
                <c:pt idx="19">
                  <c:v>50.660899999999998</c:v>
                </c:pt>
                <c:pt idx="20">
                  <c:v>52.601799999999997</c:v>
                </c:pt>
                <c:pt idx="21">
                  <c:v>54.5366</c:v>
                </c:pt>
                <c:pt idx="22">
                  <c:v>56.466099999999997</c:v>
                </c:pt>
                <c:pt idx="23">
                  <c:v>57.902200000000001</c:v>
                </c:pt>
                <c:pt idx="24">
                  <c:v>59.3367</c:v>
                </c:pt>
                <c:pt idx="25">
                  <c:v>60.769599999999997</c:v>
                </c:pt>
                <c:pt idx="26">
                  <c:v>61.838700000000003</c:v>
                </c:pt>
                <c:pt idx="27">
                  <c:v>62.907800000000002</c:v>
                </c:pt>
                <c:pt idx="28">
                  <c:v>63.975499999999997</c:v>
                </c:pt>
                <c:pt idx="29">
                  <c:v>64.773499999999999</c:v>
                </c:pt>
                <c:pt idx="30">
                  <c:v>65.571299999999994</c:v>
                </c:pt>
                <c:pt idx="31">
                  <c:v>66.368700000000004</c:v>
                </c:pt>
                <c:pt idx="32">
                  <c:v>66.763800000000003</c:v>
                </c:pt>
                <c:pt idx="33">
                  <c:v>67.159499999999994</c:v>
                </c:pt>
                <c:pt idx="34">
                  <c:v>67.555000000000007</c:v>
                </c:pt>
                <c:pt idx="35">
                  <c:v>67.950400000000002</c:v>
                </c:pt>
                <c:pt idx="36">
                  <c:v>68.345600000000005</c:v>
                </c:pt>
                <c:pt idx="37">
                  <c:v>68.740399999999994</c:v>
                </c:pt>
                <c:pt idx="38">
                  <c:v>69.134900000000002</c:v>
                </c:pt>
                <c:pt idx="39">
                  <c:v>69.528700000000001</c:v>
                </c:pt>
                <c:pt idx="40">
                  <c:v>69.921800000000005</c:v>
                </c:pt>
                <c:pt idx="41">
                  <c:v>70.314400000000006</c:v>
                </c:pt>
                <c:pt idx="42">
                  <c:v>70.706400000000002</c:v>
                </c:pt>
                <c:pt idx="43">
                  <c:v>71.097999999999999</c:v>
                </c:pt>
                <c:pt idx="44">
                  <c:v>71.488900000000001</c:v>
                </c:pt>
                <c:pt idx="45">
                  <c:v>71.879000000000005</c:v>
                </c:pt>
                <c:pt idx="46">
                  <c:v>72.268000000000001</c:v>
                </c:pt>
                <c:pt idx="47">
                  <c:v>72.655600000000007</c:v>
                </c:pt>
                <c:pt idx="48">
                  <c:v>73.041899999999998</c:v>
                </c:pt>
                <c:pt idx="49">
                  <c:v>73.427000000000007</c:v>
                </c:pt>
                <c:pt idx="50">
                  <c:v>73.8108</c:v>
                </c:pt>
                <c:pt idx="51">
                  <c:v>74.192999999999998</c:v>
                </c:pt>
                <c:pt idx="52">
                  <c:v>74.573499999999996</c:v>
                </c:pt>
                <c:pt idx="53">
                  <c:v>74.951599999999999</c:v>
                </c:pt>
                <c:pt idx="54">
                  <c:v>75.327299999999994</c:v>
                </c:pt>
                <c:pt idx="55">
                  <c:v>75.700400000000002</c:v>
                </c:pt>
                <c:pt idx="56">
                  <c:v>76.070899999999995</c:v>
                </c:pt>
                <c:pt idx="57">
                  <c:v>76.438999999999993</c:v>
                </c:pt>
                <c:pt idx="58">
                  <c:v>76.8048</c:v>
                </c:pt>
                <c:pt idx="59">
                  <c:v>77.1678</c:v>
                </c:pt>
                <c:pt idx="60">
                  <c:v>77.527799999999999</c:v>
                </c:pt>
                <c:pt idx="61">
                  <c:v>77.884600000000006</c:v>
                </c:pt>
                <c:pt idx="62">
                  <c:v>78.238</c:v>
                </c:pt>
                <c:pt idx="63">
                  <c:v>78.588200000000001</c:v>
                </c:pt>
                <c:pt idx="64">
                  <c:v>78.9358</c:v>
                </c:pt>
                <c:pt idx="65">
                  <c:v>79.280699999999996</c:v>
                </c:pt>
                <c:pt idx="66">
                  <c:v>79.623000000000005</c:v>
                </c:pt>
                <c:pt idx="67">
                  <c:v>79.962400000000002</c:v>
                </c:pt>
                <c:pt idx="68">
                  <c:v>80.298699999999997</c:v>
                </c:pt>
                <c:pt idx="69">
                  <c:v>80.631600000000006</c:v>
                </c:pt>
                <c:pt idx="70">
                  <c:v>80.961299999999994</c:v>
                </c:pt>
                <c:pt idx="71">
                  <c:v>81.287999999999997</c:v>
                </c:pt>
                <c:pt idx="72">
                  <c:v>81.612200000000001</c:v>
                </c:pt>
                <c:pt idx="73">
                  <c:v>81.934100000000001</c:v>
                </c:pt>
                <c:pt idx="74">
                  <c:v>82.253699999999995</c:v>
                </c:pt>
                <c:pt idx="75">
                  <c:v>82.570700000000002</c:v>
                </c:pt>
                <c:pt idx="76">
                  <c:v>82.884799999999998</c:v>
                </c:pt>
                <c:pt idx="77">
                  <c:v>83.195800000000006</c:v>
                </c:pt>
                <c:pt idx="78">
                  <c:v>83.503699999999995</c:v>
                </c:pt>
                <c:pt idx="79">
                  <c:v>83.808899999999994</c:v>
                </c:pt>
                <c:pt idx="80">
                  <c:v>84.111800000000002</c:v>
                </c:pt>
              </c:numCache>
            </c:numRef>
          </c:xVal>
          <c:yVal>
            <c:numRef>
              <c:f>PinchedCylinder!$D$2:$D$82</c:f>
              <c:numCache>
                <c:formatCode>0.00</c:formatCode>
                <c:ptCount val="81"/>
                <c:pt idx="0">
                  <c:v>0</c:v>
                </c:pt>
                <c:pt idx="1">
                  <c:v>3.4569900000000001E-2</c:v>
                </c:pt>
                <c:pt idx="2">
                  <c:v>5.3159900000000003E-2</c:v>
                </c:pt>
                <c:pt idx="3">
                  <c:v>6.69265E-2</c:v>
                </c:pt>
                <c:pt idx="4">
                  <c:v>7.6986799999999994E-2</c:v>
                </c:pt>
                <c:pt idx="5">
                  <c:v>8.5784399999999997E-2</c:v>
                </c:pt>
                <c:pt idx="6">
                  <c:v>9.4295900000000002E-2</c:v>
                </c:pt>
                <c:pt idx="7">
                  <c:v>0.103113</c:v>
                </c:pt>
                <c:pt idx="8">
                  <c:v>0.112609</c:v>
                </c:pt>
                <c:pt idx="9">
                  <c:v>0.122808</c:v>
                </c:pt>
                <c:pt idx="10">
                  <c:v>0.13225500000000001</c:v>
                </c:pt>
                <c:pt idx="11">
                  <c:v>0.139263</c:v>
                </c:pt>
                <c:pt idx="12">
                  <c:v>0.14377899999999999</c:v>
                </c:pt>
                <c:pt idx="13">
                  <c:v>0.14640500000000001</c:v>
                </c:pt>
                <c:pt idx="14">
                  <c:v>0.147948</c:v>
                </c:pt>
                <c:pt idx="15">
                  <c:v>0.149142</c:v>
                </c:pt>
                <c:pt idx="16">
                  <c:v>0.15060699999999999</c:v>
                </c:pt>
                <c:pt idx="17">
                  <c:v>0.152896</c:v>
                </c:pt>
                <c:pt idx="18">
                  <c:v>0.15640599999999999</c:v>
                </c:pt>
                <c:pt idx="19">
                  <c:v>0.161464</c:v>
                </c:pt>
                <c:pt idx="20">
                  <c:v>0.16832800000000001</c:v>
                </c:pt>
                <c:pt idx="21">
                  <c:v>0.17721999999999999</c:v>
                </c:pt>
                <c:pt idx="22">
                  <c:v>0.18823300000000001</c:v>
                </c:pt>
                <c:pt idx="23">
                  <c:v>0.19819000000000001</c:v>
                </c:pt>
                <c:pt idx="24">
                  <c:v>0.20962900000000001</c:v>
                </c:pt>
                <c:pt idx="25">
                  <c:v>0.22266900000000001</c:v>
                </c:pt>
                <c:pt idx="26">
                  <c:v>0.23372200000000001</c:v>
                </c:pt>
                <c:pt idx="27">
                  <c:v>0.24596399999999999</c:v>
                </c:pt>
                <c:pt idx="28">
                  <c:v>0.25929999999999997</c:v>
                </c:pt>
                <c:pt idx="29">
                  <c:v>0.27027699999999999</c:v>
                </c:pt>
                <c:pt idx="30">
                  <c:v>0.28211799999999998</c:v>
                </c:pt>
                <c:pt idx="31">
                  <c:v>0.29488799999999998</c:v>
                </c:pt>
                <c:pt idx="32">
                  <c:v>0.30131599999999997</c:v>
                </c:pt>
                <c:pt idx="33">
                  <c:v>0.308195</c:v>
                </c:pt>
                <c:pt idx="34">
                  <c:v>0.31533099999999997</c:v>
                </c:pt>
                <c:pt idx="35">
                  <c:v>0.32275100000000001</c:v>
                </c:pt>
                <c:pt idx="36">
                  <c:v>0.33047300000000002</c:v>
                </c:pt>
                <c:pt idx="37">
                  <c:v>0.33849299999999999</c:v>
                </c:pt>
                <c:pt idx="38">
                  <c:v>0.34679199999999999</c:v>
                </c:pt>
                <c:pt idx="39">
                  <c:v>0.355352</c:v>
                </c:pt>
                <c:pt idx="40">
                  <c:v>0.36418099999999998</c:v>
                </c:pt>
                <c:pt idx="41">
                  <c:v>0.37330799999999997</c:v>
                </c:pt>
                <c:pt idx="42">
                  <c:v>0.38278299999999998</c:v>
                </c:pt>
                <c:pt idx="43">
                  <c:v>0.39263199999999998</c:v>
                </c:pt>
                <c:pt idx="44">
                  <c:v>0.40285799999999999</c:v>
                </c:pt>
                <c:pt idx="45">
                  <c:v>0.41342899999999999</c:v>
                </c:pt>
                <c:pt idx="46">
                  <c:v>0.42430699999999999</c:v>
                </c:pt>
                <c:pt idx="47">
                  <c:v>0.43548700000000001</c:v>
                </c:pt>
                <c:pt idx="48">
                  <c:v>0.44699899999999998</c:v>
                </c:pt>
                <c:pt idx="49">
                  <c:v>0.458899</c:v>
                </c:pt>
                <c:pt idx="50">
                  <c:v>0.47124100000000002</c:v>
                </c:pt>
                <c:pt idx="51">
                  <c:v>0.48401100000000002</c:v>
                </c:pt>
                <c:pt idx="52">
                  <c:v>0.497172</c:v>
                </c:pt>
                <c:pt idx="53">
                  <c:v>0.51065400000000005</c:v>
                </c:pt>
                <c:pt idx="54">
                  <c:v>0.52442999999999995</c:v>
                </c:pt>
                <c:pt idx="55">
                  <c:v>0.53851000000000004</c:v>
                </c:pt>
                <c:pt idx="56">
                  <c:v>0.55296800000000002</c:v>
                </c:pt>
                <c:pt idx="57">
                  <c:v>0.56786800000000004</c:v>
                </c:pt>
                <c:pt idx="58">
                  <c:v>0.58323100000000005</c:v>
                </c:pt>
                <c:pt idx="59">
                  <c:v>0.59900699999999996</c:v>
                </c:pt>
                <c:pt idx="60">
                  <c:v>0.61510699999999996</c:v>
                </c:pt>
                <c:pt idx="61">
                  <c:v>0.63146199999999997</c:v>
                </c:pt>
                <c:pt idx="62">
                  <c:v>0.64806399999999997</c:v>
                </c:pt>
                <c:pt idx="63">
                  <c:v>0.66497700000000004</c:v>
                </c:pt>
                <c:pt idx="64">
                  <c:v>0.68230500000000005</c:v>
                </c:pt>
                <c:pt idx="65">
                  <c:v>0.70011599999999996</c:v>
                </c:pt>
                <c:pt idx="66">
                  <c:v>0.71840700000000002</c:v>
                </c:pt>
                <c:pt idx="67">
                  <c:v>0.73708099999999999</c:v>
                </c:pt>
                <c:pt idx="68">
                  <c:v>0.75604099999999996</c:v>
                </c:pt>
                <c:pt idx="69">
                  <c:v>0.77521300000000004</c:v>
                </c:pt>
                <c:pt idx="70">
                  <c:v>0.79460900000000001</c:v>
                </c:pt>
                <c:pt idx="71">
                  <c:v>0.81433500000000003</c:v>
                </c:pt>
                <c:pt idx="72">
                  <c:v>0.83452400000000004</c:v>
                </c:pt>
                <c:pt idx="73">
                  <c:v>0.85526599999999997</c:v>
                </c:pt>
                <c:pt idx="74">
                  <c:v>0.87653899999999996</c:v>
                </c:pt>
                <c:pt idx="75">
                  <c:v>0.89825900000000003</c:v>
                </c:pt>
                <c:pt idx="76">
                  <c:v>0.92029300000000003</c:v>
                </c:pt>
                <c:pt idx="77">
                  <c:v>0.94255199999999995</c:v>
                </c:pt>
                <c:pt idx="78">
                  <c:v>0.96504999999999996</c:v>
                </c:pt>
                <c:pt idx="79">
                  <c:v>0.98789099999999996</c:v>
                </c:pt>
                <c:pt idx="80">
                  <c:v>1.01122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7-A341-BDE2-4A43E9140402}"/>
            </c:ext>
          </c:extLst>
        </c:ser>
        <c:ser>
          <c:idx val="5"/>
          <c:order val="3"/>
          <c:tx>
            <c:v>uB_S8R_40x40</c:v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PinchedCylinder!$F$2:$F$82</c:f>
              <c:numCache>
                <c:formatCode>0.00</c:formatCode>
                <c:ptCount val="81"/>
                <c:pt idx="0">
                  <c:v>0</c:v>
                </c:pt>
                <c:pt idx="1">
                  <c:v>-6.6787399999999997E-2</c:v>
                </c:pt>
                <c:pt idx="2">
                  <c:v>-0.28906900000000002</c:v>
                </c:pt>
                <c:pt idx="3">
                  <c:v>-0.63312999999999997</c:v>
                </c:pt>
                <c:pt idx="4">
                  <c:v>-1.0660000000000001</c:v>
                </c:pt>
                <c:pt idx="5">
                  <c:v>-1.5571299999999999</c:v>
                </c:pt>
                <c:pt idx="6">
                  <c:v>-2.0966900000000002</c:v>
                </c:pt>
                <c:pt idx="7">
                  <c:v>-2.6799499999999998</c:v>
                </c:pt>
                <c:pt idx="8">
                  <c:v>-3.2786</c:v>
                </c:pt>
                <c:pt idx="9">
                  <c:v>-3.62452</c:v>
                </c:pt>
                <c:pt idx="10">
                  <c:v>-3.3228399999999998</c:v>
                </c:pt>
                <c:pt idx="11">
                  <c:v>-2.6262699999999999</c:v>
                </c:pt>
                <c:pt idx="12">
                  <c:v>-1.7454499999999999</c:v>
                </c:pt>
                <c:pt idx="13">
                  <c:v>-0.75644500000000003</c:v>
                </c:pt>
                <c:pt idx="14">
                  <c:v>0.31023699999999999</c:v>
                </c:pt>
                <c:pt idx="15">
                  <c:v>1.4413800000000001</c:v>
                </c:pt>
                <c:pt idx="16">
                  <c:v>2.6315599999999999</c:v>
                </c:pt>
                <c:pt idx="17">
                  <c:v>3.8787400000000001</c:v>
                </c:pt>
                <c:pt idx="18">
                  <c:v>5.18255</c:v>
                </c:pt>
                <c:pt idx="19">
                  <c:v>6.54237</c:v>
                </c:pt>
                <c:pt idx="20">
                  <c:v>7.9564199999999996</c:v>
                </c:pt>
                <c:pt idx="21">
                  <c:v>9.4212500000000006</c:v>
                </c:pt>
                <c:pt idx="22">
                  <c:v>10.9331</c:v>
                </c:pt>
                <c:pt idx="23">
                  <c:v>12.0846</c:v>
                </c:pt>
                <c:pt idx="24">
                  <c:v>13.256600000000001</c:v>
                </c:pt>
                <c:pt idx="25">
                  <c:v>14.447100000000001</c:v>
                </c:pt>
                <c:pt idx="26">
                  <c:v>15.3444</c:v>
                </c:pt>
                <c:pt idx="27">
                  <c:v>16.249700000000001</c:v>
                </c:pt>
                <c:pt idx="28">
                  <c:v>17.164100000000001</c:v>
                </c:pt>
                <c:pt idx="29">
                  <c:v>17.8507</c:v>
                </c:pt>
                <c:pt idx="30">
                  <c:v>18.540800000000001</c:v>
                </c:pt>
                <c:pt idx="31">
                  <c:v>19.233899999999998</c:v>
                </c:pt>
                <c:pt idx="32">
                  <c:v>19.582799999999999</c:v>
                </c:pt>
                <c:pt idx="33">
                  <c:v>19.930199999999999</c:v>
                </c:pt>
                <c:pt idx="34">
                  <c:v>20.278500000000001</c:v>
                </c:pt>
                <c:pt idx="35">
                  <c:v>20.627300000000002</c:v>
                </c:pt>
                <c:pt idx="36">
                  <c:v>20.976500000000001</c:v>
                </c:pt>
                <c:pt idx="37">
                  <c:v>21.3261</c:v>
                </c:pt>
                <c:pt idx="38">
                  <c:v>21.676400000000001</c:v>
                </c:pt>
                <c:pt idx="39">
                  <c:v>22.0276</c:v>
                </c:pt>
                <c:pt idx="40">
                  <c:v>22.379899999999999</c:v>
                </c:pt>
                <c:pt idx="41">
                  <c:v>22.733000000000001</c:v>
                </c:pt>
                <c:pt idx="42">
                  <c:v>23.086500000000001</c:v>
                </c:pt>
                <c:pt idx="43">
                  <c:v>23.440100000000001</c:v>
                </c:pt>
                <c:pt idx="44">
                  <c:v>23.793600000000001</c:v>
                </c:pt>
                <c:pt idx="45">
                  <c:v>24.147500000000001</c:v>
                </c:pt>
                <c:pt idx="46">
                  <c:v>24.502099999999999</c:v>
                </c:pt>
                <c:pt idx="47">
                  <c:v>24.857500000000002</c:v>
                </c:pt>
                <c:pt idx="48">
                  <c:v>25.2134</c:v>
                </c:pt>
                <c:pt idx="49">
                  <c:v>25.569299999999998</c:v>
                </c:pt>
                <c:pt idx="50">
                  <c:v>25.924399999999999</c:v>
                </c:pt>
                <c:pt idx="51">
                  <c:v>26.2788</c:v>
                </c:pt>
                <c:pt idx="52">
                  <c:v>26.6325</c:v>
                </c:pt>
                <c:pt idx="53">
                  <c:v>26.986000000000001</c:v>
                </c:pt>
                <c:pt idx="54">
                  <c:v>27.339400000000001</c:v>
                </c:pt>
                <c:pt idx="55">
                  <c:v>27.692599999999999</c:v>
                </c:pt>
                <c:pt idx="56">
                  <c:v>28.044799999999999</c:v>
                </c:pt>
                <c:pt idx="57">
                  <c:v>28.395199999999999</c:v>
                </c:pt>
                <c:pt idx="58">
                  <c:v>28.743600000000001</c:v>
                </c:pt>
                <c:pt idx="59">
                  <c:v>29.0901</c:v>
                </c:pt>
                <c:pt idx="60">
                  <c:v>29.435199999999998</c:v>
                </c:pt>
                <c:pt idx="61">
                  <c:v>29.779399999999999</c:v>
                </c:pt>
                <c:pt idx="62">
                  <c:v>30.122599999999998</c:v>
                </c:pt>
                <c:pt idx="63">
                  <c:v>30.464500000000001</c:v>
                </c:pt>
                <c:pt idx="64">
                  <c:v>30.804300000000001</c:v>
                </c:pt>
                <c:pt idx="65">
                  <c:v>31.141300000000001</c:v>
                </c:pt>
                <c:pt idx="66">
                  <c:v>31.4755</c:v>
                </c:pt>
                <c:pt idx="67">
                  <c:v>31.807400000000001</c:v>
                </c:pt>
                <c:pt idx="68">
                  <c:v>32.1374</c:v>
                </c:pt>
                <c:pt idx="69">
                  <c:v>32.466200000000001</c:v>
                </c:pt>
                <c:pt idx="70">
                  <c:v>32.793799999999997</c:v>
                </c:pt>
                <c:pt idx="71">
                  <c:v>33.119700000000002</c:v>
                </c:pt>
                <c:pt idx="72">
                  <c:v>33.442900000000002</c:v>
                </c:pt>
                <c:pt idx="73">
                  <c:v>33.762900000000002</c:v>
                </c:pt>
                <c:pt idx="74">
                  <c:v>34.079700000000003</c:v>
                </c:pt>
                <c:pt idx="75">
                  <c:v>34.393700000000003</c:v>
                </c:pt>
                <c:pt idx="76">
                  <c:v>34.705800000000004</c:v>
                </c:pt>
                <c:pt idx="77">
                  <c:v>35.016500000000001</c:v>
                </c:pt>
                <c:pt idx="78">
                  <c:v>35.325899999999997</c:v>
                </c:pt>
                <c:pt idx="79">
                  <c:v>35.633499999999998</c:v>
                </c:pt>
                <c:pt idx="80">
                  <c:v>35.938800000000001</c:v>
                </c:pt>
              </c:numCache>
            </c:numRef>
          </c:xVal>
          <c:yVal>
            <c:numRef>
              <c:f>PinchedCylinder!$D$2:$D$82</c:f>
              <c:numCache>
                <c:formatCode>0.00</c:formatCode>
                <c:ptCount val="81"/>
                <c:pt idx="0">
                  <c:v>0</c:v>
                </c:pt>
                <c:pt idx="1">
                  <c:v>3.4569900000000001E-2</c:v>
                </c:pt>
                <c:pt idx="2">
                  <c:v>5.3159900000000003E-2</c:v>
                </c:pt>
                <c:pt idx="3">
                  <c:v>6.69265E-2</c:v>
                </c:pt>
                <c:pt idx="4">
                  <c:v>7.6986799999999994E-2</c:v>
                </c:pt>
                <c:pt idx="5">
                  <c:v>8.5784399999999997E-2</c:v>
                </c:pt>
                <c:pt idx="6">
                  <c:v>9.4295900000000002E-2</c:v>
                </c:pt>
                <c:pt idx="7">
                  <c:v>0.103113</c:v>
                </c:pt>
                <c:pt idx="8">
                  <c:v>0.112609</c:v>
                </c:pt>
                <c:pt idx="9">
                  <c:v>0.122808</c:v>
                </c:pt>
                <c:pt idx="10">
                  <c:v>0.13225500000000001</c:v>
                </c:pt>
                <c:pt idx="11">
                  <c:v>0.139263</c:v>
                </c:pt>
                <c:pt idx="12">
                  <c:v>0.14377899999999999</c:v>
                </c:pt>
                <c:pt idx="13">
                  <c:v>0.14640500000000001</c:v>
                </c:pt>
                <c:pt idx="14">
                  <c:v>0.147948</c:v>
                </c:pt>
                <c:pt idx="15">
                  <c:v>0.149142</c:v>
                </c:pt>
                <c:pt idx="16">
                  <c:v>0.15060699999999999</c:v>
                </c:pt>
                <c:pt idx="17">
                  <c:v>0.152896</c:v>
                </c:pt>
                <c:pt idx="18">
                  <c:v>0.15640599999999999</c:v>
                </c:pt>
                <c:pt idx="19">
                  <c:v>0.161464</c:v>
                </c:pt>
                <c:pt idx="20">
                  <c:v>0.16832800000000001</c:v>
                </c:pt>
                <c:pt idx="21">
                  <c:v>0.17721999999999999</c:v>
                </c:pt>
                <c:pt idx="22">
                  <c:v>0.18823300000000001</c:v>
                </c:pt>
                <c:pt idx="23">
                  <c:v>0.19819000000000001</c:v>
                </c:pt>
                <c:pt idx="24">
                  <c:v>0.20962900000000001</c:v>
                </c:pt>
                <c:pt idx="25">
                  <c:v>0.22266900000000001</c:v>
                </c:pt>
                <c:pt idx="26">
                  <c:v>0.23372200000000001</c:v>
                </c:pt>
                <c:pt idx="27">
                  <c:v>0.24596399999999999</c:v>
                </c:pt>
                <c:pt idx="28">
                  <c:v>0.25929999999999997</c:v>
                </c:pt>
                <c:pt idx="29">
                  <c:v>0.27027699999999999</c:v>
                </c:pt>
                <c:pt idx="30">
                  <c:v>0.28211799999999998</c:v>
                </c:pt>
                <c:pt idx="31">
                  <c:v>0.29488799999999998</c:v>
                </c:pt>
                <c:pt idx="32">
                  <c:v>0.30131599999999997</c:v>
                </c:pt>
                <c:pt idx="33">
                  <c:v>0.308195</c:v>
                </c:pt>
                <c:pt idx="34">
                  <c:v>0.31533099999999997</c:v>
                </c:pt>
                <c:pt idx="35">
                  <c:v>0.32275100000000001</c:v>
                </c:pt>
                <c:pt idx="36">
                  <c:v>0.33047300000000002</c:v>
                </c:pt>
                <c:pt idx="37">
                  <c:v>0.33849299999999999</c:v>
                </c:pt>
                <c:pt idx="38">
                  <c:v>0.34679199999999999</c:v>
                </c:pt>
                <c:pt idx="39">
                  <c:v>0.355352</c:v>
                </c:pt>
                <c:pt idx="40">
                  <c:v>0.36418099999999998</c:v>
                </c:pt>
                <c:pt idx="41">
                  <c:v>0.37330799999999997</c:v>
                </c:pt>
                <c:pt idx="42">
                  <c:v>0.38278299999999998</c:v>
                </c:pt>
                <c:pt idx="43">
                  <c:v>0.39263199999999998</c:v>
                </c:pt>
                <c:pt idx="44">
                  <c:v>0.40285799999999999</c:v>
                </c:pt>
                <c:pt idx="45">
                  <c:v>0.41342899999999999</c:v>
                </c:pt>
                <c:pt idx="46">
                  <c:v>0.42430699999999999</c:v>
                </c:pt>
                <c:pt idx="47">
                  <c:v>0.43548700000000001</c:v>
                </c:pt>
                <c:pt idx="48">
                  <c:v>0.44699899999999998</c:v>
                </c:pt>
                <c:pt idx="49">
                  <c:v>0.458899</c:v>
                </c:pt>
                <c:pt idx="50">
                  <c:v>0.47124100000000002</c:v>
                </c:pt>
                <c:pt idx="51">
                  <c:v>0.48401100000000002</c:v>
                </c:pt>
                <c:pt idx="52">
                  <c:v>0.497172</c:v>
                </c:pt>
                <c:pt idx="53">
                  <c:v>0.51065400000000005</c:v>
                </c:pt>
                <c:pt idx="54">
                  <c:v>0.52442999999999995</c:v>
                </c:pt>
                <c:pt idx="55">
                  <c:v>0.53851000000000004</c:v>
                </c:pt>
                <c:pt idx="56">
                  <c:v>0.55296800000000002</c:v>
                </c:pt>
                <c:pt idx="57">
                  <c:v>0.56786800000000004</c:v>
                </c:pt>
                <c:pt idx="58">
                  <c:v>0.58323100000000005</c:v>
                </c:pt>
                <c:pt idx="59">
                  <c:v>0.59900699999999996</c:v>
                </c:pt>
                <c:pt idx="60">
                  <c:v>0.61510699999999996</c:v>
                </c:pt>
                <c:pt idx="61">
                  <c:v>0.63146199999999997</c:v>
                </c:pt>
                <c:pt idx="62">
                  <c:v>0.64806399999999997</c:v>
                </c:pt>
                <c:pt idx="63">
                  <c:v>0.66497700000000004</c:v>
                </c:pt>
                <c:pt idx="64">
                  <c:v>0.68230500000000005</c:v>
                </c:pt>
                <c:pt idx="65">
                  <c:v>0.70011599999999996</c:v>
                </c:pt>
                <c:pt idx="66">
                  <c:v>0.71840700000000002</c:v>
                </c:pt>
                <c:pt idx="67">
                  <c:v>0.73708099999999999</c:v>
                </c:pt>
                <c:pt idx="68">
                  <c:v>0.75604099999999996</c:v>
                </c:pt>
                <c:pt idx="69">
                  <c:v>0.77521300000000004</c:v>
                </c:pt>
                <c:pt idx="70">
                  <c:v>0.79460900000000001</c:v>
                </c:pt>
                <c:pt idx="71">
                  <c:v>0.81433500000000003</c:v>
                </c:pt>
                <c:pt idx="72">
                  <c:v>0.83452400000000004</c:v>
                </c:pt>
                <c:pt idx="73">
                  <c:v>0.85526599999999997</c:v>
                </c:pt>
                <c:pt idx="74">
                  <c:v>0.87653899999999996</c:v>
                </c:pt>
                <c:pt idx="75">
                  <c:v>0.89825900000000003</c:v>
                </c:pt>
                <c:pt idx="76">
                  <c:v>0.92029300000000003</c:v>
                </c:pt>
                <c:pt idx="77">
                  <c:v>0.94255199999999995</c:v>
                </c:pt>
                <c:pt idx="78">
                  <c:v>0.96504999999999996</c:v>
                </c:pt>
                <c:pt idx="79">
                  <c:v>0.98789099999999996</c:v>
                </c:pt>
                <c:pt idx="80">
                  <c:v>1.01122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57-A341-BDE2-4A43E9140402}"/>
            </c:ext>
          </c:extLst>
        </c:ser>
        <c:ser>
          <c:idx val="2"/>
          <c:order val="4"/>
          <c:tx>
            <c:v>wA_Q8R_40x40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PinchedCylinder!$H$2:$H$87</c:f>
              <c:numCache>
                <c:formatCode>0.000</c:formatCode>
                <c:ptCount val="8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</c:numCache>
            </c:numRef>
          </c:xVal>
          <c:yVal>
            <c:numRef>
              <c:f>PinchedCylinder!$G$2:$G$87</c:f>
              <c:numCache>
                <c:formatCode>0.000</c:formatCode>
                <c:ptCount val="86"/>
                <c:pt idx="0">
                  <c:v>0</c:v>
                </c:pt>
                <c:pt idx="1">
                  <c:v>1.1301200000000001E-2</c:v>
                </c:pt>
                <c:pt idx="2">
                  <c:v>1.7248400000000001E-2</c:v>
                </c:pt>
                <c:pt idx="3">
                  <c:v>2.1168200000000002E-2</c:v>
                </c:pt>
                <c:pt idx="4">
                  <c:v>2.4888E-2</c:v>
                </c:pt>
                <c:pt idx="5">
                  <c:v>2.8873699999999999E-2</c:v>
                </c:pt>
                <c:pt idx="6">
                  <c:v>3.3144800000000002E-2</c:v>
                </c:pt>
                <c:pt idx="7">
                  <c:v>3.7638699999999997E-2</c:v>
                </c:pt>
                <c:pt idx="8">
                  <c:v>4.2286799999999999E-2</c:v>
                </c:pt>
                <c:pt idx="9">
                  <c:v>4.7015000000000001E-2</c:v>
                </c:pt>
                <c:pt idx="10">
                  <c:v>5.17308E-2</c:v>
                </c:pt>
                <c:pt idx="11">
                  <c:v>5.63139E-2</c:v>
                </c:pt>
                <c:pt idx="12">
                  <c:v>6.0636700000000002E-2</c:v>
                </c:pt>
                <c:pt idx="13">
                  <c:v>6.4624600000000004E-2</c:v>
                </c:pt>
                <c:pt idx="14">
                  <c:v>6.8301899999999999E-2</c:v>
                </c:pt>
                <c:pt idx="15">
                  <c:v>7.1752099999999999E-2</c:v>
                </c:pt>
                <c:pt idx="16">
                  <c:v>7.5054200000000001E-2</c:v>
                </c:pt>
                <c:pt idx="17">
                  <c:v>7.8262600000000002E-2</c:v>
                </c:pt>
                <c:pt idx="18">
                  <c:v>8.1414700000000007E-2</c:v>
                </c:pt>
                <c:pt idx="19">
                  <c:v>8.4540900000000002E-2</c:v>
                </c:pt>
                <c:pt idx="20">
                  <c:v>8.7669399999999995E-2</c:v>
                </c:pt>
                <c:pt idx="21">
                  <c:v>9.0827500000000005E-2</c:v>
                </c:pt>
                <c:pt idx="22">
                  <c:v>9.4042000000000001E-2</c:v>
                </c:pt>
                <c:pt idx="23">
                  <c:v>9.7337499999999993E-2</c:v>
                </c:pt>
                <c:pt idx="24">
                  <c:v>0.10073600000000001</c:v>
                </c:pt>
                <c:pt idx="25">
                  <c:v>0.104256</c:v>
                </c:pt>
                <c:pt idx="26">
                  <c:v>0.10791000000000001</c:v>
                </c:pt>
                <c:pt idx="27">
                  <c:v>0.111711</c:v>
                </c:pt>
                <c:pt idx="28">
                  <c:v>0.115663</c:v>
                </c:pt>
                <c:pt idx="29">
                  <c:v>0.119752</c:v>
                </c:pt>
                <c:pt idx="30">
                  <c:v>0.123893</c:v>
                </c:pt>
                <c:pt idx="31">
                  <c:v>0.12792500000000001</c:v>
                </c:pt>
                <c:pt idx="32">
                  <c:v>0.131688</c:v>
                </c:pt>
                <c:pt idx="33">
                  <c:v>0.135074</c:v>
                </c:pt>
                <c:pt idx="34">
                  <c:v>0.13800599999999999</c:v>
                </c:pt>
                <c:pt idx="35">
                  <c:v>0.14047499999999999</c:v>
                </c:pt>
                <c:pt idx="36">
                  <c:v>0.142517</c:v>
                </c:pt>
                <c:pt idx="37">
                  <c:v>0.144119</c:v>
                </c:pt>
                <c:pt idx="38">
                  <c:v>0.145348</c:v>
                </c:pt>
                <c:pt idx="39">
                  <c:v>0.14636299999999999</c:v>
                </c:pt>
                <c:pt idx="40">
                  <c:v>0.14713499999999999</c:v>
                </c:pt>
                <c:pt idx="41">
                  <c:v>0.14766499999999999</c:v>
                </c:pt>
                <c:pt idx="42">
                  <c:v>0.14827799999999999</c:v>
                </c:pt>
                <c:pt idx="43">
                  <c:v>0.149009</c:v>
                </c:pt>
                <c:pt idx="44">
                  <c:v>0.149566</c:v>
                </c:pt>
                <c:pt idx="45">
                  <c:v>0.15027599999999999</c:v>
                </c:pt>
                <c:pt idx="46">
                  <c:v>0.15162700000000001</c:v>
                </c:pt>
                <c:pt idx="47">
                  <c:v>0.15313099999999999</c:v>
                </c:pt>
                <c:pt idx="48">
                  <c:v>0.15442800000000001</c:v>
                </c:pt>
                <c:pt idx="49">
                  <c:v>0.15643299999999999</c:v>
                </c:pt>
                <c:pt idx="50">
                  <c:v>0.15951799999999999</c:v>
                </c:pt>
                <c:pt idx="51">
                  <c:v>0.16254399999999999</c:v>
                </c:pt>
                <c:pt idx="52">
                  <c:v>0.16525200000000001</c:v>
                </c:pt>
                <c:pt idx="53">
                  <c:v>0.16922200000000001</c:v>
                </c:pt>
                <c:pt idx="54">
                  <c:v>0.174709</c:v>
                </c:pt>
                <c:pt idx="55">
                  <c:v>0.179921</c:v>
                </c:pt>
                <c:pt idx="56">
                  <c:v>0.18448800000000001</c:v>
                </c:pt>
                <c:pt idx="57">
                  <c:v>0.19072800000000001</c:v>
                </c:pt>
                <c:pt idx="58">
                  <c:v>0.19922500000000001</c:v>
                </c:pt>
                <c:pt idx="59">
                  <c:v>0.20754600000000001</c:v>
                </c:pt>
                <c:pt idx="60">
                  <c:v>0.21460000000000001</c:v>
                </c:pt>
                <c:pt idx="61">
                  <c:v>0.223359</c:v>
                </c:pt>
                <c:pt idx="62">
                  <c:v>0.235593</c:v>
                </c:pt>
                <c:pt idx="63">
                  <c:v>0.248472</c:v>
                </c:pt>
                <c:pt idx="64">
                  <c:v>0.259407</c:v>
                </c:pt>
                <c:pt idx="65">
                  <c:v>0.271254</c:v>
                </c:pt>
                <c:pt idx="66">
                  <c:v>0.28813800000000001</c:v>
                </c:pt>
                <c:pt idx="67">
                  <c:v>0.30755199999999999</c:v>
                </c:pt>
                <c:pt idx="68">
                  <c:v>0.324878</c:v>
                </c:pt>
                <c:pt idx="69">
                  <c:v>0.34124399999999999</c:v>
                </c:pt>
                <c:pt idx="70">
                  <c:v>0.36398999999999998</c:v>
                </c:pt>
                <c:pt idx="71">
                  <c:v>0.39237100000000003</c:v>
                </c:pt>
                <c:pt idx="72">
                  <c:v>0.41950700000000002</c:v>
                </c:pt>
                <c:pt idx="73">
                  <c:v>0.44307000000000002</c:v>
                </c:pt>
                <c:pt idx="74">
                  <c:v>0.47356900000000002</c:v>
                </c:pt>
                <c:pt idx="75">
                  <c:v>0.51403699999999997</c:v>
                </c:pt>
                <c:pt idx="76">
                  <c:v>0.55485300000000004</c:v>
                </c:pt>
                <c:pt idx="77">
                  <c:v>0.58903700000000003</c:v>
                </c:pt>
                <c:pt idx="78">
                  <c:v>0.63035200000000002</c:v>
                </c:pt>
                <c:pt idx="79">
                  <c:v>0.687087</c:v>
                </c:pt>
                <c:pt idx="80">
                  <c:v>0.74538899999999997</c:v>
                </c:pt>
                <c:pt idx="81">
                  <c:v>0.793431</c:v>
                </c:pt>
                <c:pt idx="82">
                  <c:v>0.85048699999999999</c:v>
                </c:pt>
                <c:pt idx="83">
                  <c:v>0.92935199999999996</c:v>
                </c:pt>
                <c:pt idx="84">
                  <c:v>1.0105500000000001</c:v>
                </c:pt>
                <c:pt idx="85">
                  <c:v>1.0787100000000001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9-9142-ABC3-B08531F8C35C}"/>
            </c:ext>
          </c:extLst>
        </c:ser>
        <c:ser>
          <c:idx val="3"/>
          <c:order val="5"/>
          <c:tx>
            <c:v>uB_Q8R_40x40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PinchedCylinder!$I$2:$I$87</c:f>
              <c:numCache>
                <c:formatCode>0.000</c:formatCode>
                <c:ptCount val="86"/>
                <c:pt idx="0">
                  <c:v>0</c:v>
                </c:pt>
                <c:pt idx="1">
                  <c:v>-1.46384E-4</c:v>
                </c:pt>
                <c:pt idx="2">
                  <c:v>7.1569699999999995E-4</c:v>
                </c:pt>
                <c:pt idx="3">
                  <c:v>-2.5374099999999999E-3</c:v>
                </c:pt>
                <c:pt idx="4">
                  <c:v>-1.24739E-2</c:v>
                </c:pt>
                <c:pt idx="5">
                  <c:v>-3.0209900000000001E-2</c:v>
                </c:pt>
                <c:pt idx="6">
                  <c:v>-5.6560699999999998E-2</c:v>
                </c:pt>
                <c:pt idx="7">
                  <c:v>-9.2342999999999995E-2</c:v>
                </c:pt>
                <c:pt idx="8">
                  <c:v>-0.13841800000000001</c:v>
                </c:pt>
                <c:pt idx="9">
                  <c:v>-0.19572000000000001</c:v>
                </c:pt>
                <c:pt idx="10">
                  <c:v>-0.26529399999999997</c:v>
                </c:pt>
                <c:pt idx="11">
                  <c:v>-0.34828599999999998</c:v>
                </c:pt>
                <c:pt idx="12">
                  <c:v>-0.445689</c:v>
                </c:pt>
                <c:pt idx="13">
                  <c:v>-0.55777900000000002</c:v>
                </c:pt>
                <c:pt idx="14">
                  <c:v>-0.68379000000000001</c:v>
                </c:pt>
                <c:pt idx="15">
                  <c:v>-0.82241900000000001</c:v>
                </c:pt>
                <c:pt idx="16">
                  <c:v>-0.97249699999999994</c:v>
                </c:pt>
                <c:pt idx="17">
                  <c:v>-1.1331899999999999</c:v>
                </c:pt>
                <c:pt idx="18">
                  <c:v>-1.30393</c:v>
                </c:pt>
                <c:pt idx="19">
                  <c:v>-1.48431</c:v>
                </c:pt>
                <c:pt idx="20">
                  <c:v>-1.67401</c:v>
                </c:pt>
                <c:pt idx="21">
                  <c:v>-1.8728100000000001</c:v>
                </c:pt>
                <c:pt idx="22">
                  <c:v>-2.08046</c:v>
                </c:pt>
                <c:pt idx="23">
                  <c:v>-2.2966299999999999</c:v>
                </c:pt>
                <c:pt idx="24">
                  <c:v>-2.5207799999999998</c:v>
                </c:pt>
                <c:pt idx="25">
                  <c:v>-2.7517200000000002</c:v>
                </c:pt>
                <c:pt idx="26">
                  <c:v>-2.9866000000000001</c:v>
                </c:pt>
                <c:pt idx="27">
                  <c:v>-3.2176800000000001</c:v>
                </c:pt>
                <c:pt idx="28">
                  <c:v>-3.4245000000000001</c:v>
                </c:pt>
                <c:pt idx="29">
                  <c:v>-3.56582</c:v>
                </c:pt>
                <c:pt idx="30">
                  <c:v>-3.5977199999999998</c:v>
                </c:pt>
                <c:pt idx="31">
                  <c:v>-3.5102500000000001</c:v>
                </c:pt>
                <c:pt idx="32">
                  <c:v>-3.3228399999999998</c:v>
                </c:pt>
                <c:pt idx="33">
                  <c:v>-3.0593499999999998</c:v>
                </c:pt>
                <c:pt idx="34">
                  <c:v>-2.7377699999999998</c:v>
                </c:pt>
                <c:pt idx="35">
                  <c:v>-2.3702399999999999</c:v>
                </c:pt>
                <c:pt idx="36">
                  <c:v>-1.9654</c:v>
                </c:pt>
                <c:pt idx="37">
                  <c:v>-1.52871</c:v>
                </c:pt>
                <c:pt idx="38">
                  <c:v>-1.0638099999999999</c:v>
                </c:pt>
                <c:pt idx="39">
                  <c:v>-0.57453799999999999</c:v>
                </c:pt>
                <c:pt idx="40">
                  <c:v>-6.2675400000000006E-2</c:v>
                </c:pt>
                <c:pt idx="41">
                  <c:v>0.47159200000000001</c:v>
                </c:pt>
                <c:pt idx="42">
                  <c:v>1.0251999999999999</c:v>
                </c:pt>
                <c:pt idx="43">
                  <c:v>1.59642</c:v>
                </c:pt>
                <c:pt idx="44">
                  <c:v>2.18851</c:v>
                </c:pt>
                <c:pt idx="45">
                  <c:v>2.7999499999999999</c:v>
                </c:pt>
                <c:pt idx="46">
                  <c:v>3.4247000000000001</c:v>
                </c:pt>
                <c:pt idx="47">
                  <c:v>4.0670200000000003</c:v>
                </c:pt>
                <c:pt idx="48">
                  <c:v>4.7332299999999998</c:v>
                </c:pt>
                <c:pt idx="49">
                  <c:v>5.4141899999999996</c:v>
                </c:pt>
                <c:pt idx="50">
                  <c:v>6.1027800000000001</c:v>
                </c:pt>
                <c:pt idx="51">
                  <c:v>6.8124500000000001</c:v>
                </c:pt>
                <c:pt idx="52">
                  <c:v>7.5499700000000001</c:v>
                </c:pt>
                <c:pt idx="53">
                  <c:v>8.2947900000000008</c:v>
                </c:pt>
                <c:pt idx="54">
                  <c:v>9.0389499999999998</c:v>
                </c:pt>
                <c:pt idx="55">
                  <c:v>9.8068200000000001</c:v>
                </c:pt>
                <c:pt idx="56">
                  <c:v>10.6081</c:v>
                </c:pt>
                <c:pt idx="57">
                  <c:v>11.409000000000001</c:v>
                </c:pt>
                <c:pt idx="58">
                  <c:v>12.1952</c:v>
                </c:pt>
                <c:pt idx="59">
                  <c:v>13.0025</c:v>
                </c:pt>
                <c:pt idx="60">
                  <c:v>13.8535</c:v>
                </c:pt>
                <c:pt idx="61">
                  <c:v>14.7037</c:v>
                </c:pt>
                <c:pt idx="62">
                  <c:v>15.5198</c:v>
                </c:pt>
                <c:pt idx="63">
                  <c:v>16.344999999999999</c:v>
                </c:pt>
                <c:pt idx="64">
                  <c:v>17.226500000000001</c:v>
                </c:pt>
                <c:pt idx="65">
                  <c:v>18.124400000000001</c:v>
                </c:pt>
                <c:pt idx="66">
                  <c:v>18.970099999999999</c:v>
                </c:pt>
                <c:pt idx="67">
                  <c:v>19.801100000000002</c:v>
                </c:pt>
                <c:pt idx="68">
                  <c:v>20.694800000000001</c:v>
                </c:pt>
                <c:pt idx="69">
                  <c:v>21.641200000000001</c:v>
                </c:pt>
                <c:pt idx="70">
                  <c:v>22.529199999999999</c:v>
                </c:pt>
                <c:pt idx="71">
                  <c:v>23.369199999999999</c:v>
                </c:pt>
                <c:pt idx="72">
                  <c:v>24.265699999999999</c:v>
                </c:pt>
                <c:pt idx="73">
                  <c:v>25.258400000000002</c:v>
                </c:pt>
                <c:pt idx="74">
                  <c:v>26.204000000000001</c:v>
                </c:pt>
                <c:pt idx="75">
                  <c:v>27.064599999999999</c:v>
                </c:pt>
                <c:pt idx="76">
                  <c:v>27.969799999999999</c:v>
                </c:pt>
                <c:pt idx="77">
                  <c:v>29.009499999999999</c:v>
                </c:pt>
                <c:pt idx="78">
                  <c:v>30.0183</c:v>
                </c:pt>
                <c:pt idx="79">
                  <c:v>30.9057</c:v>
                </c:pt>
                <c:pt idx="80">
                  <c:v>31.83</c:v>
                </c:pt>
                <c:pt idx="81">
                  <c:v>32.915199999999999</c:v>
                </c:pt>
                <c:pt idx="82">
                  <c:v>33.965400000000002</c:v>
                </c:pt>
                <c:pt idx="83">
                  <c:v>34.863399999999999</c:v>
                </c:pt>
                <c:pt idx="84">
                  <c:v>35.798999999999999</c:v>
                </c:pt>
                <c:pt idx="85">
                  <c:v>36.914700000000003</c:v>
                </c:pt>
              </c:numCache>
            </c:numRef>
          </c:xVal>
          <c:yVal>
            <c:numRef>
              <c:f>PinchedCylinder!$G$2:$G$87</c:f>
              <c:numCache>
                <c:formatCode>0.000</c:formatCode>
                <c:ptCount val="86"/>
                <c:pt idx="0">
                  <c:v>0</c:v>
                </c:pt>
                <c:pt idx="1">
                  <c:v>1.1301200000000001E-2</c:v>
                </c:pt>
                <c:pt idx="2">
                  <c:v>1.7248400000000001E-2</c:v>
                </c:pt>
                <c:pt idx="3">
                  <c:v>2.1168200000000002E-2</c:v>
                </c:pt>
                <c:pt idx="4">
                  <c:v>2.4888E-2</c:v>
                </c:pt>
                <c:pt idx="5">
                  <c:v>2.8873699999999999E-2</c:v>
                </c:pt>
                <c:pt idx="6">
                  <c:v>3.3144800000000002E-2</c:v>
                </c:pt>
                <c:pt idx="7">
                  <c:v>3.7638699999999997E-2</c:v>
                </c:pt>
                <c:pt idx="8">
                  <c:v>4.2286799999999999E-2</c:v>
                </c:pt>
                <c:pt idx="9">
                  <c:v>4.7015000000000001E-2</c:v>
                </c:pt>
                <c:pt idx="10">
                  <c:v>5.17308E-2</c:v>
                </c:pt>
                <c:pt idx="11">
                  <c:v>5.63139E-2</c:v>
                </c:pt>
                <c:pt idx="12">
                  <c:v>6.0636700000000002E-2</c:v>
                </c:pt>
                <c:pt idx="13">
                  <c:v>6.4624600000000004E-2</c:v>
                </c:pt>
                <c:pt idx="14">
                  <c:v>6.8301899999999999E-2</c:v>
                </c:pt>
                <c:pt idx="15">
                  <c:v>7.1752099999999999E-2</c:v>
                </c:pt>
                <c:pt idx="16">
                  <c:v>7.5054200000000001E-2</c:v>
                </c:pt>
                <c:pt idx="17">
                  <c:v>7.8262600000000002E-2</c:v>
                </c:pt>
                <c:pt idx="18">
                  <c:v>8.1414700000000007E-2</c:v>
                </c:pt>
                <c:pt idx="19">
                  <c:v>8.4540900000000002E-2</c:v>
                </c:pt>
                <c:pt idx="20">
                  <c:v>8.7669399999999995E-2</c:v>
                </c:pt>
                <c:pt idx="21">
                  <c:v>9.0827500000000005E-2</c:v>
                </c:pt>
                <c:pt idx="22">
                  <c:v>9.4042000000000001E-2</c:v>
                </c:pt>
                <c:pt idx="23">
                  <c:v>9.7337499999999993E-2</c:v>
                </c:pt>
                <c:pt idx="24">
                  <c:v>0.10073600000000001</c:v>
                </c:pt>
                <c:pt idx="25">
                  <c:v>0.104256</c:v>
                </c:pt>
                <c:pt idx="26">
                  <c:v>0.10791000000000001</c:v>
                </c:pt>
                <c:pt idx="27">
                  <c:v>0.111711</c:v>
                </c:pt>
                <c:pt idx="28">
                  <c:v>0.115663</c:v>
                </c:pt>
                <c:pt idx="29">
                  <c:v>0.119752</c:v>
                </c:pt>
                <c:pt idx="30">
                  <c:v>0.123893</c:v>
                </c:pt>
                <c:pt idx="31">
                  <c:v>0.12792500000000001</c:v>
                </c:pt>
                <c:pt idx="32">
                  <c:v>0.131688</c:v>
                </c:pt>
                <c:pt idx="33">
                  <c:v>0.135074</c:v>
                </c:pt>
                <c:pt idx="34">
                  <c:v>0.13800599999999999</c:v>
                </c:pt>
                <c:pt idx="35">
                  <c:v>0.14047499999999999</c:v>
                </c:pt>
                <c:pt idx="36">
                  <c:v>0.142517</c:v>
                </c:pt>
                <c:pt idx="37">
                  <c:v>0.144119</c:v>
                </c:pt>
                <c:pt idx="38">
                  <c:v>0.145348</c:v>
                </c:pt>
                <c:pt idx="39">
                  <c:v>0.14636299999999999</c:v>
                </c:pt>
                <c:pt idx="40">
                  <c:v>0.14713499999999999</c:v>
                </c:pt>
                <c:pt idx="41">
                  <c:v>0.14766499999999999</c:v>
                </c:pt>
                <c:pt idx="42">
                  <c:v>0.14827799999999999</c:v>
                </c:pt>
                <c:pt idx="43">
                  <c:v>0.149009</c:v>
                </c:pt>
                <c:pt idx="44">
                  <c:v>0.149566</c:v>
                </c:pt>
                <c:pt idx="45">
                  <c:v>0.15027599999999999</c:v>
                </c:pt>
                <c:pt idx="46">
                  <c:v>0.15162700000000001</c:v>
                </c:pt>
                <c:pt idx="47">
                  <c:v>0.15313099999999999</c:v>
                </c:pt>
                <c:pt idx="48">
                  <c:v>0.15442800000000001</c:v>
                </c:pt>
                <c:pt idx="49">
                  <c:v>0.15643299999999999</c:v>
                </c:pt>
                <c:pt idx="50">
                  <c:v>0.15951799999999999</c:v>
                </c:pt>
                <c:pt idx="51">
                  <c:v>0.16254399999999999</c:v>
                </c:pt>
                <c:pt idx="52">
                  <c:v>0.16525200000000001</c:v>
                </c:pt>
                <c:pt idx="53">
                  <c:v>0.16922200000000001</c:v>
                </c:pt>
                <c:pt idx="54">
                  <c:v>0.174709</c:v>
                </c:pt>
                <c:pt idx="55">
                  <c:v>0.179921</c:v>
                </c:pt>
                <c:pt idx="56">
                  <c:v>0.18448800000000001</c:v>
                </c:pt>
                <c:pt idx="57">
                  <c:v>0.19072800000000001</c:v>
                </c:pt>
                <c:pt idx="58">
                  <c:v>0.19922500000000001</c:v>
                </c:pt>
                <c:pt idx="59">
                  <c:v>0.20754600000000001</c:v>
                </c:pt>
                <c:pt idx="60">
                  <c:v>0.21460000000000001</c:v>
                </c:pt>
                <c:pt idx="61">
                  <c:v>0.223359</c:v>
                </c:pt>
                <c:pt idx="62">
                  <c:v>0.235593</c:v>
                </c:pt>
                <c:pt idx="63">
                  <c:v>0.248472</c:v>
                </c:pt>
                <c:pt idx="64">
                  <c:v>0.259407</c:v>
                </c:pt>
                <c:pt idx="65">
                  <c:v>0.271254</c:v>
                </c:pt>
                <c:pt idx="66">
                  <c:v>0.28813800000000001</c:v>
                </c:pt>
                <c:pt idx="67">
                  <c:v>0.30755199999999999</c:v>
                </c:pt>
                <c:pt idx="68">
                  <c:v>0.324878</c:v>
                </c:pt>
                <c:pt idx="69">
                  <c:v>0.34124399999999999</c:v>
                </c:pt>
                <c:pt idx="70">
                  <c:v>0.36398999999999998</c:v>
                </c:pt>
                <c:pt idx="71">
                  <c:v>0.39237100000000003</c:v>
                </c:pt>
                <c:pt idx="72">
                  <c:v>0.41950700000000002</c:v>
                </c:pt>
                <c:pt idx="73">
                  <c:v>0.44307000000000002</c:v>
                </c:pt>
                <c:pt idx="74">
                  <c:v>0.47356900000000002</c:v>
                </c:pt>
                <c:pt idx="75">
                  <c:v>0.51403699999999997</c:v>
                </c:pt>
                <c:pt idx="76">
                  <c:v>0.55485300000000004</c:v>
                </c:pt>
                <c:pt idx="77">
                  <c:v>0.58903700000000003</c:v>
                </c:pt>
                <c:pt idx="78">
                  <c:v>0.63035200000000002</c:v>
                </c:pt>
                <c:pt idx="79">
                  <c:v>0.687087</c:v>
                </c:pt>
                <c:pt idx="80">
                  <c:v>0.74538899999999997</c:v>
                </c:pt>
                <c:pt idx="81">
                  <c:v>0.793431</c:v>
                </c:pt>
                <c:pt idx="82">
                  <c:v>0.85048699999999999</c:v>
                </c:pt>
                <c:pt idx="83">
                  <c:v>0.92935199999999996</c:v>
                </c:pt>
                <c:pt idx="84">
                  <c:v>1.0105500000000001</c:v>
                </c:pt>
                <c:pt idx="85">
                  <c:v>1.0787100000000001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9-9142-ABC3-B08531F8C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9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u,w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  <c:majorUnit val="10"/>
        <c:minorUnit val="5"/>
      </c:valAx>
      <c:valAx>
        <c:axId val="1895056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PinchedSemiCylinder!$B$2:$B$27</c:f>
              <c:numCache>
                <c:formatCode>0.000</c:formatCode>
                <c:ptCount val="26"/>
                <c:pt idx="0">
                  <c:v>0</c:v>
                </c:pt>
                <c:pt idx="1">
                  <c:v>5.4210000000000001E-2</c:v>
                </c:pt>
                <c:pt idx="2">
                  <c:v>0.161</c:v>
                </c:pt>
                <c:pt idx="3">
                  <c:v>0.22195000000000001</c:v>
                </c:pt>
                <c:pt idx="4">
                  <c:v>0.27656999999999998</c:v>
                </c:pt>
                <c:pt idx="5">
                  <c:v>0.32700000000000001</c:v>
                </c:pt>
                <c:pt idx="6">
                  <c:v>0.37581999999999999</c:v>
                </c:pt>
                <c:pt idx="7">
                  <c:v>0.42633000000000004</c:v>
                </c:pt>
                <c:pt idx="8">
                  <c:v>0.48536999999999997</c:v>
                </c:pt>
                <c:pt idx="9">
                  <c:v>0.56355</c:v>
                </c:pt>
                <c:pt idx="10">
                  <c:v>0.66409999999999991</c:v>
                </c:pt>
                <c:pt idx="11">
                  <c:v>0.79810000000000003</c:v>
                </c:pt>
                <c:pt idx="12">
                  <c:v>0.94668999999999992</c:v>
                </c:pt>
                <c:pt idx="13">
                  <c:v>1.1370399999999998</c:v>
                </c:pt>
                <c:pt idx="14">
                  <c:v>1.2475100000000001</c:v>
                </c:pt>
                <c:pt idx="15">
                  <c:v>1.32653</c:v>
                </c:pt>
                <c:pt idx="16">
                  <c:v>1.3891999999999998</c:v>
                </c:pt>
                <c:pt idx="17">
                  <c:v>1.4418500000000001</c:v>
                </c:pt>
                <c:pt idx="18">
                  <c:v>1.4877</c:v>
                </c:pt>
                <c:pt idx="19">
                  <c:v>1.5286299999999999</c:v>
                </c:pt>
                <c:pt idx="20">
                  <c:v>1.5658400000000001</c:v>
                </c:pt>
                <c:pt idx="21">
                  <c:v>1.60015</c:v>
                </c:pt>
                <c:pt idx="22">
                  <c:v>1.6321100000000002</c:v>
                </c:pt>
                <c:pt idx="23">
                  <c:v>1.6619999999999999</c:v>
                </c:pt>
                <c:pt idx="24">
                  <c:v>1.6897300000000002</c:v>
                </c:pt>
                <c:pt idx="25">
                  <c:v>1.71505</c:v>
                </c:pt>
              </c:numCache>
            </c:numRef>
          </c:xVal>
          <c:yVal>
            <c:numRef>
              <c:f>PinchedSemiCylinder!$A$2:$A$27</c:f>
              <c:numCache>
                <c:formatCode>0.000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0.125</c:v>
                </c:pt>
                <c:pt idx="4">
                  <c:v>0.15</c:v>
                </c:pt>
                <c:pt idx="5">
                  <c:v>0.17499999999999999</c:v>
                </c:pt>
                <c:pt idx="6">
                  <c:v>0.2</c:v>
                </c:pt>
                <c:pt idx="7">
                  <c:v>0.22500000000000001</c:v>
                </c:pt>
                <c:pt idx="8">
                  <c:v>0.25</c:v>
                </c:pt>
                <c:pt idx="9">
                  <c:v>0.27500000000000002</c:v>
                </c:pt>
                <c:pt idx="10">
                  <c:v>0.3</c:v>
                </c:pt>
                <c:pt idx="11">
                  <c:v>0.32500000000000001</c:v>
                </c:pt>
                <c:pt idx="12">
                  <c:v>0.35</c:v>
                </c:pt>
                <c:pt idx="13">
                  <c:v>0.4</c:v>
                </c:pt>
                <c:pt idx="14">
                  <c:v>0.45</c:v>
                </c:pt>
                <c:pt idx="15">
                  <c:v>0.5</c:v>
                </c:pt>
                <c:pt idx="16">
                  <c:v>0.55000000000000004</c:v>
                </c:pt>
                <c:pt idx="17">
                  <c:v>0.6</c:v>
                </c:pt>
                <c:pt idx="18">
                  <c:v>0.65</c:v>
                </c:pt>
                <c:pt idx="19">
                  <c:v>0.7</c:v>
                </c:pt>
                <c:pt idx="20">
                  <c:v>0.75</c:v>
                </c:pt>
                <c:pt idx="21">
                  <c:v>0.8</c:v>
                </c:pt>
                <c:pt idx="22">
                  <c:v>0.85</c:v>
                </c:pt>
                <c:pt idx="23">
                  <c:v>0.9</c:v>
                </c:pt>
                <c:pt idx="24">
                  <c:v>0.95</c:v>
                </c:pt>
                <c:pt idx="2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2B-7B46-8491-F2B1DDD9EFD2}"/>
            </c:ext>
          </c:extLst>
        </c:ser>
        <c:ser>
          <c:idx val="1"/>
          <c:order val="1"/>
          <c:tx>
            <c:v>Q8_20x20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PinchedSemiCylinder!$D$2:$D$42</c:f>
              <c:numCache>
                <c:formatCode>0.00000</c:formatCode>
                <c:ptCount val="41"/>
                <c:pt idx="0">
                  <c:v>0</c:v>
                </c:pt>
                <c:pt idx="1">
                  <c:v>2.3614599999999999E-2</c:v>
                </c:pt>
                <c:pt idx="2">
                  <c:v>5.5208100000000003E-2</c:v>
                </c:pt>
                <c:pt idx="3">
                  <c:v>0.101661</c:v>
                </c:pt>
                <c:pt idx="4">
                  <c:v>0.162443</c:v>
                </c:pt>
                <c:pt idx="5">
                  <c:v>0.22222700000000001</c:v>
                </c:pt>
                <c:pt idx="6">
                  <c:v>0.27659299999999998</c:v>
                </c:pt>
                <c:pt idx="7">
                  <c:v>0.32745299999999999</c:v>
                </c:pt>
                <c:pt idx="8">
                  <c:v>0.37737399999999999</c:v>
                </c:pt>
                <c:pt idx="9">
                  <c:v>0.43007499999999999</c:v>
                </c:pt>
                <c:pt idx="10">
                  <c:v>0.49269299999999999</c:v>
                </c:pt>
                <c:pt idx="11">
                  <c:v>0.57322799999999996</c:v>
                </c:pt>
                <c:pt idx="12">
                  <c:v>0.67718199999999995</c:v>
                </c:pt>
                <c:pt idx="13">
                  <c:v>0.81688799999999995</c:v>
                </c:pt>
                <c:pt idx="14">
                  <c:v>0.96315499999999998</c:v>
                </c:pt>
                <c:pt idx="15">
                  <c:v>1.0694699999999999</c:v>
                </c:pt>
                <c:pt idx="16">
                  <c:v>1.14581</c:v>
                </c:pt>
                <c:pt idx="17">
                  <c:v>1.2051400000000001</c:v>
                </c:pt>
                <c:pt idx="18">
                  <c:v>1.2537100000000001</c:v>
                </c:pt>
                <c:pt idx="19">
                  <c:v>1.29531</c:v>
                </c:pt>
                <c:pt idx="20">
                  <c:v>1.3319799999999999</c:v>
                </c:pt>
                <c:pt idx="21">
                  <c:v>1.3643700000000001</c:v>
                </c:pt>
                <c:pt idx="22">
                  <c:v>1.3941600000000001</c:v>
                </c:pt>
                <c:pt idx="23">
                  <c:v>1.42161</c:v>
                </c:pt>
                <c:pt idx="24">
                  <c:v>1.4466600000000001</c:v>
                </c:pt>
                <c:pt idx="25">
                  <c:v>1.4702299999999999</c:v>
                </c:pt>
                <c:pt idx="26">
                  <c:v>1.4927299999999999</c:v>
                </c:pt>
                <c:pt idx="27">
                  <c:v>1.5137700000000001</c:v>
                </c:pt>
                <c:pt idx="28">
                  <c:v>1.5335000000000001</c:v>
                </c:pt>
                <c:pt idx="29">
                  <c:v>1.5525</c:v>
                </c:pt>
                <c:pt idx="30">
                  <c:v>1.57098</c:v>
                </c:pt>
                <c:pt idx="31">
                  <c:v>1.58857</c:v>
                </c:pt>
                <c:pt idx="32">
                  <c:v>1.6052200000000001</c:v>
                </c:pt>
                <c:pt idx="33">
                  <c:v>1.62131</c:v>
                </c:pt>
                <c:pt idx="34">
                  <c:v>1.63713</c:v>
                </c:pt>
                <c:pt idx="35">
                  <c:v>1.6525099999999999</c:v>
                </c:pt>
                <c:pt idx="36">
                  <c:v>1.6671100000000001</c:v>
                </c:pt>
                <c:pt idx="37">
                  <c:v>1.68099</c:v>
                </c:pt>
                <c:pt idx="38">
                  <c:v>1.6943900000000001</c:v>
                </c:pt>
                <c:pt idx="39">
                  <c:v>1.70739</c:v>
                </c:pt>
                <c:pt idx="40">
                  <c:v>1.7198899999999999</c:v>
                </c:pt>
              </c:numCache>
            </c:numRef>
          </c:xVal>
          <c:yVal>
            <c:numRef>
              <c:f>PinchedSemiCylinder!$C$2:$C$42</c:f>
              <c:numCache>
                <c:formatCode>0.000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2B-7B46-8491-F2B1DDD9E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h = 6.35_Sze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CylindricalRoof!$B$3:$B$39</c:f>
              <c:numCache>
                <c:formatCode>0.000</c:formatCode>
                <c:ptCount val="37"/>
                <c:pt idx="0">
                  <c:v>0</c:v>
                </c:pt>
                <c:pt idx="1">
                  <c:v>1.8460000000000001</c:v>
                </c:pt>
                <c:pt idx="2">
                  <c:v>5.2709999999999999</c:v>
                </c:pt>
                <c:pt idx="3">
                  <c:v>8.2569999999999997</c:v>
                </c:pt>
                <c:pt idx="4">
                  <c:v>10.798999999999999</c:v>
                </c:pt>
                <c:pt idx="5">
                  <c:v>11.904</c:v>
                </c:pt>
                <c:pt idx="6">
                  <c:v>12.891999999999999</c:v>
                </c:pt>
                <c:pt idx="7">
                  <c:v>13.752000000000001</c:v>
                </c:pt>
                <c:pt idx="8">
                  <c:v>14.472</c:v>
                </c:pt>
                <c:pt idx="9">
                  <c:v>15.05</c:v>
                </c:pt>
                <c:pt idx="10">
                  <c:v>15.500999999999999</c:v>
                </c:pt>
                <c:pt idx="11">
                  <c:v>16.145</c:v>
                </c:pt>
                <c:pt idx="12">
                  <c:v>16.602</c:v>
                </c:pt>
                <c:pt idx="13">
                  <c:v>16.914999999999999</c:v>
                </c:pt>
                <c:pt idx="14">
                  <c:v>17.007999999999999</c:v>
                </c:pt>
                <c:pt idx="15">
                  <c:v>16.696999999999999</c:v>
                </c:pt>
                <c:pt idx="16">
                  <c:v>15.78</c:v>
                </c:pt>
                <c:pt idx="17">
                  <c:v>15.206</c:v>
                </c:pt>
                <c:pt idx="18">
                  <c:v>14.766999999999999</c:v>
                </c:pt>
                <c:pt idx="19">
                  <c:v>14.52</c:v>
                </c:pt>
                <c:pt idx="20">
                  <c:v>14.451000000000001</c:v>
                </c:pt>
                <c:pt idx="21">
                  <c:v>14.862</c:v>
                </c:pt>
                <c:pt idx="22">
                  <c:v>15.778</c:v>
                </c:pt>
                <c:pt idx="23">
                  <c:v>16.960999999999999</c:v>
                </c:pt>
                <c:pt idx="24">
                  <c:v>18.32</c:v>
                </c:pt>
                <c:pt idx="25">
                  <c:v>19.817</c:v>
                </c:pt>
                <c:pt idx="26">
                  <c:v>21.42</c:v>
                </c:pt>
                <c:pt idx="27">
                  <c:v>23.1</c:v>
                </c:pt>
                <c:pt idx="28">
                  <c:v>24.824000000000002</c:v>
                </c:pt>
                <c:pt idx="29">
                  <c:v>26.565000000000001</c:v>
                </c:pt>
                <c:pt idx="30">
                  <c:v>28.302</c:v>
                </c:pt>
                <c:pt idx="31">
                  <c:v>30.023</c:v>
                </c:pt>
                <c:pt idx="32">
                  <c:v>31.72</c:v>
                </c:pt>
                <c:pt idx="33">
                  <c:v>33.387999999999998</c:v>
                </c:pt>
                <c:pt idx="34">
                  <c:v>35.024000000000001</c:v>
                </c:pt>
                <c:pt idx="35">
                  <c:v>36.625999999999998</c:v>
                </c:pt>
                <c:pt idx="36">
                  <c:v>38.450000000000003</c:v>
                </c:pt>
              </c:numCache>
            </c:numRef>
          </c:xVal>
          <c:yVal>
            <c:numRef>
              <c:f>CylindricalRoof!$A$3:$A$39</c:f>
              <c:numCache>
                <c:formatCode>0.0</c:formatCode>
                <c:ptCount val="37"/>
                <c:pt idx="0">
                  <c:v>0</c:v>
                </c:pt>
                <c:pt idx="1">
                  <c:v>155.10000000000002</c:v>
                </c:pt>
                <c:pt idx="2">
                  <c:v>354.6</c:v>
                </c:pt>
                <c:pt idx="3">
                  <c:v>474.9</c:v>
                </c:pt>
                <c:pt idx="4">
                  <c:v>551.1</c:v>
                </c:pt>
                <c:pt idx="5">
                  <c:v>574.19999999999993</c:v>
                </c:pt>
                <c:pt idx="6">
                  <c:v>585.9</c:v>
                </c:pt>
                <c:pt idx="7">
                  <c:v>585</c:v>
                </c:pt>
                <c:pt idx="8">
                  <c:v>570.29999999999995</c:v>
                </c:pt>
                <c:pt idx="9">
                  <c:v>541.80000000000007</c:v>
                </c:pt>
                <c:pt idx="10">
                  <c:v>501.3</c:v>
                </c:pt>
                <c:pt idx="11">
                  <c:v>396.9</c:v>
                </c:pt>
                <c:pt idx="12">
                  <c:v>276.89999999999998</c:v>
                </c:pt>
                <c:pt idx="13">
                  <c:v>151.19999999999999</c:v>
                </c:pt>
                <c:pt idx="14">
                  <c:v>24.9</c:v>
                </c:pt>
                <c:pt idx="15">
                  <c:v>-93.6</c:v>
                </c:pt>
                <c:pt idx="16">
                  <c:v>-186.6</c:v>
                </c:pt>
                <c:pt idx="17">
                  <c:v>-221.7</c:v>
                </c:pt>
                <c:pt idx="18">
                  <c:v>-258.3</c:v>
                </c:pt>
                <c:pt idx="19">
                  <c:v>-300.3</c:v>
                </c:pt>
                <c:pt idx="20">
                  <c:v>-342.59999999999997</c:v>
                </c:pt>
                <c:pt idx="21">
                  <c:v>-374.1</c:v>
                </c:pt>
                <c:pt idx="22">
                  <c:v>-386.4</c:v>
                </c:pt>
                <c:pt idx="23">
                  <c:v>-381.29999999999995</c:v>
                </c:pt>
                <c:pt idx="24">
                  <c:v>-358.8</c:v>
                </c:pt>
                <c:pt idx="25">
                  <c:v>-316.5</c:v>
                </c:pt>
                <c:pt idx="26">
                  <c:v>-247.5</c:v>
                </c:pt>
                <c:pt idx="27">
                  <c:v>-145.19999999999999</c:v>
                </c:pt>
                <c:pt idx="28">
                  <c:v>-1.7999999999999998</c:v>
                </c:pt>
                <c:pt idx="29">
                  <c:v>187.8</c:v>
                </c:pt>
                <c:pt idx="30">
                  <c:v>428.09999999999997</c:v>
                </c:pt>
                <c:pt idx="31">
                  <c:v>720.90000000000009</c:v>
                </c:pt>
                <c:pt idx="32">
                  <c:v>1067.7</c:v>
                </c:pt>
                <c:pt idx="33">
                  <c:v>1469.4</c:v>
                </c:pt>
                <c:pt idx="34">
                  <c:v>1925.1000000000001</c:v>
                </c:pt>
                <c:pt idx="35">
                  <c:v>2434.1999999999998</c:v>
                </c:pt>
                <c:pt idx="36">
                  <c:v>3093.9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A-BE4E-956D-4C7CFDAD914E}"/>
            </c:ext>
          </c:extLst>
        </c:ser>
        <c:ser>
          <c:idx val="1"/>
          <c:order val="1"/>
          <c:tx>
            <c:v>h = 6.35_Q8_16x16</c:v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CylindricalRoof!$D$3:$D$88</c:f>
              <c:numCache>
                <c:formatCode>0.00000</c:formatCode>
                <c:ptCount val="86"/>
                <c:pt idx="0">
                  <c:v>0</c:v>
                </c:pt>
                <c:pt idx="1">
                  <c:v>0.103867</c:v>
                </c:pt>
                <c:pt idx="2">
                  <c:v>0.25043199999999999</c:v>
                </c:pt>
                <c:pt idx="3">
                  <c:v>0.41917300000000002</c:v>
                </c:pt>
                <c:pt idx="4">
                  <c:v>0.61332299999999995</c:v>
                </c:pt>
                <c:pt idx="5">
                  <c:v>0.83653100000000002</c:v>
                </c:pt>
                <c:pt idx="6">
                  <c:v>1.0928899999999999</c:v>
                </c:pt>
                <c:pt idx="7">
                  <c:v>1.38697</c:v>
                </c:pt>
                <c:pt idx="8">
                  <c:v>1.7237899999999999</c:v>
                </c:pt>
                <c:pt idx="9">
                  <c:v>2.1088399999999998</c:v>
                </c:pt>
                <c:pt idx="10">
                  <c:v>2.5479599999999998</c:v>
                </c:pt>
                <c:pt idx="11">
                  <c:v>3.0472800000000002</c:v>
                </c:pt>
                <c:pt idx="12">
                  <c:v>3.6130300000000002</c:v>
                </c:pt>
                <c:pt idx="13">
                  <c:v>4.2512699999999999</c:v>
                </c:pt>
                <c:pt idx="14">
                  <c:v>4.9675799999999999</c:v>
                </c:pt>
                <c:pt idx="15">
                  <c:v>5.7666500000000003</c:v>
                </c:pt>
                <c:pt idx="16">
                  <c:v>6.5354799999999997</c:v>
                </c:pt>
                <c:pt idx="17">
                  <c:v>7.2743099999999998</c:v>
                </c:pt>
                <c:pt idx="18">
                  <c:v>7.9835500000000001</c:v>
                </c:pt>
                <c:pt idx="19">
                  <c:v>8.66371</c:v>
                </c:pt>
                <c:pt idx="20">
                  <c:v>9.3152399999999993</c:v>
                </c:pt>
                <c:pt idx="21">
                  <c:v>9.9385200000000005</c:v>
                </c:pt>
                <c:pt idx="22">
                  <c:v>10.5337</c:v>
                </c:pt>
                <c:pt idx="23">
                  <c:v>11.1007</c:v>
                </c:pt>
                <c:pt idx="24">
                  <c:v>11.6393</c:v>
                </c:pt>
                <c:pt idx="25">
                  <c:v>12.1488</c:v>
                </c:pt>
                <c:pt idx="26">
                  <c:v>12.6282</c:v>
                </c:pt>
                <c:pt idx="27">
                  <c:v>13.076499999999999</c:v>
                </c:pt>
                <c:pt idx="28">
                  <c:v>13.4924</c:v>
                </c:pt>
                <c:pt idx="29">
                  <c:v>13.8748</c:v>
                </c:pt>
                <c:pt idx="30">
                  <c:v>14.2227</c:v>
                </c:pt>
                <c:pt idx="31">
                  <c:v>14.536199999999999</c:v>
                </c:pt>
                <c:pt idx="32">
                  <c:v>14.8163</c:v>
                </c:pt>
                <c:pt idx="33">
                  <c:v>15.065200000000001</c:v>
                </c:pt>
                <c:pt idx="34">
                  <c:v>15.286</c:v>
                </c:pt>
                <c:pt idx="35">
                  <c:v>15.4824</c:v>
                </c:pt>
                <c:pt idx="36">
                  <c:v>15.6585</c:v>
                </c:pt>
                <c:pt idx="37">
                  <c:v>15.8177</c:v>
                </c:pt>
                <c:pt idx="38">
                  <c:v>15.9846</c:v>
                </c:pt>
                <c:pt idx="39">
                  <c:v>16.159400000000002</c:v>
                </c:pt>
                <c:pt idx="40">
                  <c:v>16.3187</c:v>
                </c:pt>
                <c:pt idx="41">
                  <c:v>16.464400000000001</c:v>
                </c:pt>
                <c:pt idx="42">
                  <c:v>16.597300000000001</c:v>
                </c:pt>
                <c:pt idx="43">
                  <c:v>16.716699999999999</c:v>
                </c:pt>
                <c:pt idx="44">
                  <c:v>16.821200000000001</c:v>
                </c:pt>
                <c:pt idx="45">
                  <c:v>16.908200000000001</c:v>
                </c:pt>
                <c:pt idx="46">
                  <c:v>16.974599999999999</c:v>
                </c:pt>
                <c:pt idx="47">
                  <c:v>17.015999999999998</c:v>
                </c:pt>
                <c:pt idx="48">
                  <c:v>17.026900000000001</c:v>
                </c:pt>
                <c:pt idx="49">
                  <c:v>17.001000000000001</c:v>
                </c:pt>
                <c:pt idx="50">
                  <c:v>16.930299999999999</c:v>
                </c:pt>
                <c:pt idx="51">
                  <c:v>16.8062</c:v>
                </c:pt>
                <c:pt idx="52">
                  <c:v>16.6205</c:v>
                </c:pt>
                <c:pt idx="53">
                  <c:v>16.368500000000001</c:v>
                </c:pt>
                <c:pt idx="54">
                  <c:v>16.0547</c:v>
                </c:pt>
                <c:pt idx="55">
                  <c:v>15.698399999999999</c:v>
                </c:pt>
                <c:pt idx="56">
                  <c:v>15.3362</c:v>
                </c:pt>
                <c:pt idx="57">
                  <c:v>15.0152</c:v>
                </c:pt>
                <c:pt idx="58">
                  <c:v>14.7723</c:v>
                </c:pt>
                <c:pt idx="59">
                  <c:v>14.6074</c:v>
                </c:pt>
                <c:pt idx="60">
                  <c:v>14.4963</c:v>
                </c:pt>
                <c:pt idx="61">
                  <c:v>14.452299999999999</c:v>
                </c:pt>
                <c:pt idx="62">
                  <c:v>14.591100000000001</c:v>
                </c:pt>
                <c:pt idx="63">
                  <c:v>14.998200000000001</c:v>
                </c:pt>
                <c:pt idx="64">
                  <c:v>15.605</c:v>
                </c:pt>
                <c:pt idx="65">
                  <c:v>16.3384</c:v>
                </c:pt>
                <c:pt idx="66">
                  <c:v>17.163499999999999</c:v>
                </c:pt>
                <c:pt idx="67">
                  <c:v>18.064</c:v>
                </c:pt>
                <c:pt idx="68">
                  <c:v>19.029900000000001</c:v>
                </c:pt>
                <c:pt idx="69">
                  <c:v>20.053000000000001</c:v>
                </c:pt>
                <c:pt idx="70">
                  <c:v>21.124600000000001</c:v>
                </c:pt>
                <c:pt idx="71">
                  <c:v>22.235399999999998</c:v>
                </c:pt>
                <c:pt idx="72">
                  <c:v>23.553599999999999</c:v>
                </c:pt>
                <c:pt idx="73">
                  <c:v>24.8962</c:v>
                </c:pt>
                <c:pt idx="74">
                  <c:v>26.251000000000001</c:v>
                </c:pt>
                <c:pt idx="75">
                  <c:v>27.609000000000002</c:v>
                </c:pt>
                <c:pt idx="76">
                  <c:v>28.964400000000001</c:v>
                </c:pt>
                <c:pt idx="77">
                  <c:v>30.3139</c:v>
                </c:pt>
                <c:pt idx="78">
                  <c:v>31.655799999999999</c:v>
                </c:pt>
                <c:pt idx="79">
                  <c:v>32.9895</c:v>
                </c:pt>
                <c:pt idx="80">
                  <c:v>34.315100000000001</c:v>
                </c:pt>
                <c:pt idx="81">
                  <c:v>35.632899999999999</c:v>
                </c:pt>
                <c:pt idx="82">
                  <c:v>36.9435</c:v>
                </c:pt>
                <c:pt idx="83">
                  <c:v>38.448399999999999</c:v>
                </c:pt>
                <c:pt idx="84">
                  <c:v>39.945099999999996</c:v>
                </c:pt>
                <c:pt idx="85">
                  <c:v>41.434399999999997</c:v>
                </c:pt>
              </c:numCache>
            </c:numRef>
          </c:xVal>
          <c:yVal>
            <c:numRef>
              <c:f>CylindricalRoof!$C$3:$C$88</c:f>
              <c:numCache>
                <c:formatCode>0.000</c:formatCode>
                <c:ptCount val="86"/>
                <c:pt idx="0">
                  <c:v>0</c:v>
                </c:pt>
                <c:pt idx="1">
                  <c:v>9.9137400000000007</c:v>
                </c:pt>
                <c:pt idx="2">
                  <c:v>23.642700000000001</c:v>
                </c:pt>
                <c:pt idx="3">
                  <c:v>39.0792</c:v>
                </c:pt>
                <c:pt idx="4">
                  <c:v>56.362099999999998</c:v>
                </c:pt>
                <c:pt idx="5">
                  <c:v>75.617599999999996</c:v>
                </c:pt>
                <c:pt idx="6">
                  <c:v>96.95</c:v>
                </c:pt>
                <c:pt idx="7">
                  <c:v>120.431</c:v>
                </c:pt>
                <c:pt idx="8">
                  <c:v>146.08799999999999</c:v>
                </c:pt>
                <c:pt idx="9">
                  <c:v>173.893</c:v>
                </c:pt>
                <c:pt idx="10">
                  <c:v>203.75399999999999</c:v>
                </c:pt>
                <c:pt idx="11">
                  <c:v>235.512</c:v>
                </c:pt>
                <c:pt idx="12">
                  <c:v>268.947</c:v>
                </c:pt>
                <c:pt idx="13">
                  <c:v>303.79199999999997</c:v>
                </c:pt>
                <c:pt idx="14">
                  <c:v>339.75799999999998</c:v>
                </c:pt>
                <c:pt idx="15">
                  <c:v>376.54700000000003</c:v>
                </c:pt>
                <c:pt idx="16">
                  <c:v>409.13600000000002</c:v>
                </c:pt>
                <c:pt idx="17">
                  <c:v>438.209</c:v>
                </c:pt>
                <c:pt idx="18">
                  <c:v>464.24799999999999</c:v>
                </c:pt>
                <c:pt idx="19">
                  <c:v>487.56900000000002</c:v>
                </c:pt>
                <c:pt idx="20">
                  <c:v>508.36200000000002</c:v>
                </c:pt>
                <c:pt idx="21">
                  <c:v>526.71699999999998</c:v>
                </c:pt>
                <c:pt idx="22">
                  <c:v>542.65200000000004</c:v>
                </c:pt>
                <c:pt idx="23">
                  <c:v>556.12199999999996</c:v>
                </c:pt>
                <c:pt idx="24">
                  <c:v>567.04300000000001</c:v>
                </c:pt>
                <c:pt idx="25">
                  <c:v>575.29499999999996</c:v>
                </c:pt>
                <c:pt idx="26">
                  <c:v>580.73800000000006</c:v>
                </c:pt>
                <c:pt idx="27">
                  <c:v>583.22500000000002</c:v>
                </c:pt>
                <c:pt idx="28">
                  <c:v>582.61800000000005</c:v>
                </c:pt>
                <c:pt idx="29">
                  <c:v>578.81399999999996</c:v>
                </c:pt>
                <c:pt idx="30">
                  <c:v>571.76499999999999</c:v>
                </c:pt>
                <c:pt idx="31">
                  <c:v>561.50900000000001</c:v>
                </c:pt>
                <c:pt idx="32">
                  <c:v>548.18200000000002</c:v>
                </c:pt>
                <c:pt idx="33">
                  <c:v>532.01599999999996</c:v>
                </c:pt>
                <c:pt idx="34">
                  <c:v>513.31399999999996</c:v>
                </c:pt>
                <c:pt idx="35">
                  <c:v>492.42099999999999</c:v>
                </c:pt>
                <c:pt idx="36">
                  <c:v>469.685</c:v>
                </c:pt>
                <c:pt idx="37">
                  <c:v>445.43400000000003</c:v>
                </c:pt>
                <c:pt idx="38">
                  <c:v>415.92099999999999</c:v>
                </c:pt>
                <c:pt idx="39">
                  <c:v>380.29199999999997</c:v>
                </c:pt>
                <c:pt idx="40">
                  <c:v>343.428</c:v>
                </c:pt>
                <c:pt idx="41">
                  <c:v>305.67200000000003</c:v>
                </c:pt>
                <c:pt idx="42">
                  <c:v>267.279</c:v>
                </c:pt>
                <c:pt idx="43">
                  <c:v>228.44300000000001</c:v>
                </c:pt>
                <c:pt idx="44">
                  <c:v>189.321</c:v>
                </c:pt>
                <c:pt idx="45">
                  <c:v>150.05099999999999</c:v>
                </c:pt>
                <c:pt idx="46">
                  <c:v>110.76900000000001</c:v>
                </c:pt>
                <c:pt idx="47">
                  <c:v>71.630200000000002</c:v>
                </c:pt>
                <c:pt idx="48">
                  <c:v>32.831499999999998</c:v>
                </c:pt>
                <c:pt idx="49">
                  <c:v>-5.35921</c:v>
                </c:pt>
                <c:pt idx="50">
                  <c:v>-42.563699999999997</c:v>
                </c:pt>
                <c:pt idx="51">
                  <c:v>-78.251099999999994</c:v>
                </c:pt>
                <c:pt idx="52">
                  <c:v>-111.715</c:v>
                </c:pt>
                <c:pt idx="53">
                  <c:v>-142.14699999999999</c:v>
                </c:pt>
                <c:pt idx="54">
                  <c:v>-168.91399999999999</c:v>
                </c:pt>
                <c:pt idx="55">
                  <c:v>-192.10400000000001</c:v>
                </c:pt>
                <c:pt idx="56">
                  <c:v>-213.01900000000001</c:v>
                </c:pt>
                <c:pt idx="57">
                  <c:v>-233.982</c:v>
                </c:pt>
                <c:pt idx="58">
                  <c:v>-257.03300000000002</c:v>
                </c:pt>
                <c:pt idx="59">
                  <c:v>-282.62799999999999</c:v>
                </c:pt>
                <c:pt idx="60">
                  <c:v>-309.81299999999999</c:v>
                </c:pt>
                <c:pt idx="61">
                  <c:v>-336.697</c:v>
                </c:pt>
                <c:pt idx="62">
                  <c:v>-359.95800000000003</c:v>
                </c:pt>
                <c:pt idx="63">
                  <c:v>-375.76799999999997</c:v>
                </c:pt>
                <c:pt idx="64">
                  <c:v>-383.33199999999999</c:v>
                </c:pt>
                <c:pt idx="65">
                  <c:v>-383.46100000000001</c:v>
                </c:pt>
                <c:pt idx="66">
                  <c:v>-376.47899999999998</c:v>
                </c:pt>
                <c:pt idx="67">
                  <c:v>-362.00400000000002</c:v>
                </c:pt>
                <c:pt idx="68">
                  <c:v>-339.01299999999998</c:v>
                </c:pt>
                <c:pt idx="69">
                  <c:v>-305.90300000000002</c:v>
                </c:pt>
                <c:pt idx="70">
                  <c:v>-260.58100000000002</c:v>
                </c:pt>
                <c:pt idx="71">
                  <c:v>-200.654</c:v>
                </c:pt>
                <c:pt idx="72">
                  <c:v>-110.101</c:v>
                </c:pt>
                <c:pt idx="73">
                  <c:v>6.6270600000000002</c:v>
                </c:pt>
                <c:pt idx="74">
                  <c:v>152.44</c:v>
                </c:pt>
                <c:pt idx="75">
                  <c:v>329.71600000000001</c:v>
                </c:pt>
                <c:pt idx="76">
                  <c:v>540.45500000000004</c:v>
                </c:pt>
                <c:pt idx="77">
                  <c:v>786.43399999999997</c:v>
                </c:pt>
                <c:pt idx="78">
                  <c:v>1069.32</c:v>
                </c:pt>
                <c:pt idx="79">
                  <c:v>1390.74</c:v>
                </c:pt>
                <c:pt idx="80">
                  <c:v>1752.31</c:v>
                </c:pt>
                <c:pt idx="81">
                  <c:v>2155.62</c:v>
                </c:pt>
                <c:pt idx="82">
                  <c:v>2602.29</c:v>
                </c:pt>
                <c:pt idx="83">
                  <c:v>3174.12</c:v>
                </c:pt>
                <c:pt idx="84">
                  <c:v>3808.4</c:v>
                </c:pt>
                <c:pt idx="85">
                  <c:v>4507.6099999999997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A-BE4E-956D-4C7CFDAD914E}"/>
            </c:ext>
          </c:extLst>
        </c:ser>
        <c:ser>
          <c:idx val="2"/>
          <c:order val="2"/>
          <c:tx>
            <c:v>h = 12.7_Sze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CylindricalRoof!$F$3:$F$39</c:f>
              <c:numCache>
                <c:formatCode>0.000</c:formatCode>
                <c:ptCount val="37"/>
                <c:pt idx="0">
                  <c:v>0</c:v>
                </c:pt>
                <c:pt idx="1">
                  <c:v>0.69299999999999995</c:v>
                </c:pt>
                <c:pt idx="2">
                  <c:v>1.6379999999999999</c:v>
                </c:pt>
                <c:pt idx="3">
                  <c:v>3.0870000000000002</c:v>
                </c:pt>
                <c:pt idx="4">
                  <c:v>4.4770000000000003</c:v>
                </c:pt>
                <c:pt idx="5">
                  <c:v>5.8019999999999996</c:v>
                </c:pt>
                <c:pt idx="6">
                  <c:v>7.0570000000000004</c:v>
                </c:pt>
                <c:pt idx="7">
                  <c:v>8.2370000000000001</c:v>
                </c:pt>
                <c:pt idx="8">
                  <c:v>9.3390000000000004</c:v>
                </c:pt>
                <c:pt idx="9">
                  <c:v>10.358000000000001</c:v>
                </c:pt>
                <c:pt idx="10">
                  <c:v>11.292999999999999</c:v>
                </c:pt>
                <c:pt idx="11">
                  <c:v>12.141</c:v>
                </c:pt>
                <c:pt idx="12">
                  <c:v>12.903</c:v>
                </c:pt>
                <c:pt idx="13">
                  <c:v>13.583</c:v>
                </c:pt>
                <c:pt idx="14">
                  <c:v>14.188000000000001</c:v>
                </c:pt>
                <c:pt idx="15">
                  <c:v>14.728</c:v>
                </c:pt>
                <c:pt idx="16">
                  <c:v>15.217000000000001</c:v>
                </c:pt>
                <c:pt idx="17">
                  <c:v>15.676</c:v>
                </c:pt>
                <c:pt idx="18">
                  <c:v>16.125</c:v>
                </c:pt>
                <c:pt idx="19">
                  <c:v>16.59</c:v>
                </c:pt>
                <c:pt idx="20">
                  <c:v>17.094000000000001</c:v>
                </c:pt>
                <c:pt idx="21">
                  <c:v>17.657</c:v>
                </c:pt>
                <c:pt idx="22">
                  <c:v>18.298999999999999</c:v>
                </c:pt>
                <c:pt idx="23">
                  <c:v>19.027999999999999</c:v>
                </c:pt>
                <c:pt idx="24">
                  <c:v>19.852</c:v>
                </c:pt>
                <c:pt idx="25">
                  <c:v>20.771000000000001</c:v>
                </c:pt>
                <c:pt idx="26">
                  <c:v>21.78</c:v>
                </c:pt>
                <c:pt idx="27">
                  <c:v>22.875</c:v>
                </c:pt>
                <c:pt idx="28">
                  <c:v>24.048999999999999</c:v>
                </c:pt>
                <c:pt idx="29">
                  <c:v>24.663</c:v>
                </c:pt>
                <c:pt idx="30">
                  <c:v>25.292999999999999</c:v>
                </c:pt>
                <c:pt idx="31">
                  <c:v>25.94</c:v>
                </c:pt>
                <c:pt idx="32">
                  <c:v>26.600999999999999</c:v>
                </c:pt>
                <c:pt idx="33">
                  <c:v>27.276</c:v>
                </c:pt>
                <c:pt idx="34">
                  <c:v>27.963999999999999</c:v>
                </c:pt>
                <c:pt idx="35">
                  <c:v>28.663</c:v>
                </c:pt>
                <c:pt idx="36">
                  <c:v>29.373999999999999</c:v>
                </c:pt>
              </c:numCache>
            </c:numRef>
          </c:xVal>
          <c:yVal>
            <c:numRef>
              <c:f>CylindricalRoof!$E$3:$E$39</c:f>
              <c:numCache>
                <c:formatCode>0.0</c:formatCode>
                <c:ptCount val="37"/>
                <c:pt idx="0">
                  <c:v>0</c:v>
                </c:pt>
                <c:pt idx="1">
                  <c:v>263.10000000000002</c:v>
                </c:pt>
                <c:pt idx="2">
                  <c:v>594</c:v>
                </c:pt>
                <c:pt idx="3">
                  <c:v>1041.9000000000001</c:v>
                </c:pt>
                <c:pt idx="4">
                  <c:v>1405.8</c:v>
                </c:pt>
                <c:pt idx="5">
                  <c:v>1694.1</c:v>
                </c:pt>
                <c:pt idx="6">
                  <c:v>1914.3</c:v>
                </c:pt>
                <c:pt idx="7">
                  <c:v>2072.4</c:v>
                </c:pt>
                <c:pt idx="8">
                  <c:v>2173.8000000000002</c:v>
                </c:pt>
                <c:pt idx="9">
                  <c:v>2223.6</c:v>
                </c:pt>
                <c:pt idx="10">
                  <c:v>2226.2999999999997</c:v>
                </c:pt>
                <c:pt idx="11">
                  <c:v>2185.8000000000002</c:v>
                </c:pt>
                <c:pt idx="12">
                  <c:v>2106.9</c:v>
                </c:pt>
                <c:pt idx="13">
                  <c:v>1994.7</c:v>
                </c:pt>
                <c:pt idx="14">
                  <c:v>1854.6</c:v>
                </c:pt>
                <c:pt idx="15">
                  <c:v>1692.9</c:v>
                </c:pt>
                <c:pt idx="16">
                  <c:v>1516.4999999999998</c:v>
                </c:pt>
                <c:pt idx="17">
                  <c:v>1332.6</c:v>
                </c:pt>
                <c:pt idx="18">
                  <c:v>1149</c:v>
                </c:pt>
                <c:pt idx="19">
                  <c:v>973.5</c:v>
                </c:pt>
                <c:pt idx="20">
                  <c:v>815.1</c:v>
                </c:pt>
                <c:pt idx="21">
                  <c:v>681.6</c:v>
                </c:pt>
                <c:pt idx="22">
                  <c:v>582</c:v>
                </c:pt>
                <c:pt idx="23">
                  <c:v>525</c:v>
                </c:pt>
                <c:pt idx="24">
                  <c:v>518.70000000000005</c:v>
                </c:pt>
                <c:pt idx="25">
                  <c:v>571.5</c:v>
                </c:pt>
                <c:pt idx="26">
                  <c:v>690.9</c:v>
                </c:pt>
                <c:pt idx="27">
                  <c:v>885</c:v>
                </c:pt>
                <c:pt idx="28">
                  <c:v>1161.3</c:v>
                </c:pt>
                <c:pt idx="29">
                  <c:v>1332.8999999999999</c:v>
                </c:pt>
                <c:pt idx="30">
                  <c:v>1527.8999999999999</c:v>
                </c:pt>
                <c:pt idx="31">
                  <c:v>1747.8</c:v>
                </c:pt>
                <c:pt idx="32">
                  <c:v>1993.2</c:v>
                </c:pt>
                <c:pt idx="33">
                  <c:v>2265.3000000000002</c:v>
                </c:pt>
                <c:pt idx="34">
                  <c:v>2564.6999999999998</c:v>
                </c:pt>
                <c:pt idx="35">
                  <c:v>2892.9</c:v>
                </c:pt>
                <c:pt idx="36">
                  <c:v>3250.4999999999995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3A-BE4E-956D-4C7CFDAD914E}"/>
            </c:ext>
          </c:extLst>
        </c:ser>
        <c:ser>
          <c:idx val="3"/>
          <c:order val="3"/>
          <c:tx>
            <c:v>h = 12.7_Q8_16x16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CylindricalRoof!$H$3:$H$55</c:f>
              <c:numCache>
                <c:formatCode>0.00000</c:formatCode>
                <c:ptCount val="53"/>
                <c:pt idx="0">
                  <c:v>0</c:v>
                </c:pt>
                <c:pt idx="1">
                  <c:v>2.5475000000000001E-2</c:v>
                </c:pt>
                <c:pt idx="2">
                  <c:v>6.1476700000000002E-2</c:v>
                </c:pt>
                <c:pt idx="3">
                  <c:v>0.11234</c:v>
                </c:pt>
                <c:pt idx="4">
                  <c:v>0.184168</c:v>
                </c:pt>
                <c:pt idx="5">
                  <c:v>0.28554200000000002</c:v>
                </c:pt>
                <c:pt idx="6">
                  <c:v>0.40229599999999999</c:v>
                </c:pt>
                <c:pt idx="7">
                  <c:v>0.53670499999999999</c:v>
                </c:pt>
                <c:pt idx="8">
                  <c:v>0.691361</c:v>
                </c:pt>
                <c:pt idx="9">
                  <c:v>0.86920500000000001</c:v>
                </c:pt>
                <c:pt idx="10">
                  <c:v>1.0735699999999999</c:v>
                </c:pt>
                <c:pt idx="11">
                  <c:v>1.3082100000000001</c:v>
                </c:pt>
                <c:pt idx="12">
                  <c:v>1.5773299999999999</c:v>
                </c:pt>
                <c:pt idx="13">
                  <c:v>1.8856299999999999</c:v>
                </c:pt>
                <c:pt idx="14">
                  <c:v>2.2382900000000001</c:v>
                </c:pt>
                <c:pt idx="15">
                  <c:v>2.6409699999999998</c:v>
                </c:pt>
                <c:pt idx="16">
                  <c:v>3.0997699999999999</c:v>
                </c:pt>
                <c:pt idx="17">
                  <c:v>3.6211000000000002</c:v>
                </c:pt>
                <c:pt idx="18">
                  <c:v>4.2115400000000003</c:v>
                </c:pt>
                <c:pt idx="19">
                  <c:v>4.8774800000000003</c:v>
                </c:pt>
                <c:pt idx="20">
                  <c:v>5.6246999999999998</c:v>
                </c:pt>
                <c:pt idx="21">
                  <c:v>6.4576200000000004</c:v>
                </c:pt>
                <c:pt idx="22">
                  <c:v>7.3782399999999999</c:v>
                </c:pt>
                <c:pt idx="23">
                  <c:v>8.2533799999999999</c:v>
                </c:pt>
                <c:pt idx="24">
                  <c:v>9.0818100000000008</c:v>
                </c:pt>
                <c:pt idx="25">
                  <c:v>9.8625100000000003</c:v>
                </c:pt>
                <c:pt idx="26">
                  <c:v>10.5947</c:v>
                </c:pt>
                <c:pt idx="27">
                  <c:v>11.277900000000001</c:v>
                </c:pt>
                <c:pt idx="28">
                  <c:v>11.912100000000001</c:v>
                </c:pt>
                <c:pt idx="29">
                  <c:v>12.4978</c:v>
                </c:pt>
                <c:pt idx="30">
                  <c:v>13.036300000000001</c:v>
                </c:pt>
                <c:pt idx="31">
                  <c:v>13.529500000000001</c:v>
                </c:pt>
                <c:pt idx="32">
                  <c:v>13.980499999999999</c:v>
                </c:pt>
                <c:pt idx="33">
                  <c:v>14.3934</c:v>
                </c:pt>
                <c:pt idx="34">
                  <c:v>14.7735</c:v>
                </c:pt>
                <c:pt idx="35">
                  <c:v>15.1271</c:v>
                </c:pt>
                <c:pt idx="36">
                  <c:v>15.4617</c:v>
                </c:pt>
                <c:pt idx="37">
                  <c:v>15.835599999999999</c:v>
                </c:pt>
                <c:pt idx="38">
                  <c:v>16.2684</c:v>
                </c:pt>
                <c:pt idx="39">
                  <c:v>16.798100000000002</c:v>
                </c:pt>
                <c:pt idx="40">
                  <c:v>17.3919</c:v>
                </c:pt>
                <c:pt idx="41">
                  <c:v>18.078600000000002</c:v>
                </c:pt>
                <c:pt idx="42">
                  <c:v>18.878799999999998</c:v>
                </c:pt>
                <c:pt idx="43">
                  <c:v>19.803599999999999</c:v>
                </c:pt>
                <c:pt idx="44">
                  <c:v>20.855699999999999</c:v>
                </c:pt>
                <c:pt idx="45">
                  <c:v>22.031500000000001</c:v>
                </c:pt>
                <c:pt idx="46">
                  <c:v>23.323799999999999</c:v>
                </c:pt>
                <c:pt idx="47">
                  <c:v>24.722899999999999</c:v>
                </c:pt>
                <c:pt idx="48">
                  <c:v>26.218900000000001</c:v>
                </c:pt>
                <c:pt idx="49">
                  <c:v>27.801600000000001</c:v>
                </c:pt>
                <c:pt idx="50">
                  <c:v>29.461200000000002</c:v>
                </c:pt>
                <c:pt idx="51">
                  <c:v>31.188500000000001</c:v>
                </c:pt>
                <c:pt idx="52">
                  <c:v>32.974800000000002</c:v>
                </c:pt>
              </c:numCache>
            </c:numRef>
          </c:xVal>
          <c:yVal>
            <c:numRef>
              <c:f>CylindricalRoof!$G$3:$G$55</c:f>
              <c:numCache>
                <c:formatCode>0.0</c:formatCode>
                <c:ptCount val="53"/>
                <c:pt idx="0" formatCode="0.000">
                  <c:v>0</c:v>
                </c:pt>
                <c:pt idx="1">
                  <c:v>9.9848800000000004</c:v>
                </c:pt>
                <c:pt idx="2">
                  <c:v>24.054099999999998</c:v>
                </c:pt>
                <c:pt idx="3">
                  <c:v>43.848199999999999</c:v>
                </c:pt>
                <c:pt idx="4">
                  <c:v>71.636600000000001</c:v>
                </c:pt>
                <c:pt idx="5">
                  <c:v>110.52800000000001</c:v>
                </c:pt>
                <c:pt idx="6">
                  <c:v>154.84800000000001</c:v>
                </c:pt>
                <c:pt idx="7">
                  <c:v>205.24600000000001</c:v>
                </c:pt>
                <c:pt idx="8">
                  <c:v>262.41500000000002</c:v>
                </c:pt>
                <c:pt idx="9">
                  <c:v>327.077</c:v>
                </c:pt>
                <c:pt idx="10">
                  <c:v>399.96699999999998</c:v>
                </c:pt>
                <c:pt idx="11">
                  <c:v>481.80599999999998</c:v>
                </c:pt>
                <c:pt idx="12">
                  <c:v>573.26</c:v>
                </c:pt>
                <c:pt idx="13">
                  <c:v>674.89400000000001</c:v>
                </c:pt>
                <c:pt idx="14">
                  <c:v>787.09299999999996</c:v>
                </c:pt>
                <c:pt idx="15">
                  <c:v>909.976</c:v>
                </c:pt>
                <c:pt idx="16">
                  <c:v>1043.27</c:v>
                </c:pt>
                <c:pt idx="17">
                  <c:v>1186.18</c:v>
                </c:pt>
                <c:pt idx="18">
                  <c:v>1337.16</c:v>
                </c:pt>
                <c:pt idx="19">
                  <c:v>1493.73</c:v>
                </c:pt>
                <c:pt idx="20">
                  <c:v>1652.2</c:v>
                </c:pt>
                <c:pt idx="21">
                  <c:v>1807.32</c:v>
                </c:pt>
                <c:pt idx="22">
                  <c:v>1951.96</c:v>
                </c:pt>
                <c:pt idx="23">
                  <c:v>2062.41</c:v>
                </c:pt>
                <c:pt idx="24">
                  <c:v>2141.2600000000002</c:v>
                </c:pt>
                <c:pt idx="25">
                  <c:v>2190.81</c:v>
                </c:pt>
                <c:pt idx="26">
                  <c:v>2213.1999999999998</c:v>
                </c:pt>
                <c:pt idx="27">
                  <c:v>2210.44</c:v>
                </c:pt>
                <c:pt idx="28">
                  <c:v>2184.4699999999998</c:v>
                </c:pt>
                <c:pt idx="29">
                  <c:v>2137.27</c:v>
                </c:pt>
                <c:pt idx="30">
                  <c:v>2070.87</c:v>
                </c:pt>
                <c:pt idx="31">
                  <c:v>1987.43</c:v>
                </c:pt>
                <c:pt idx="32">
                  <c:v>1889.21</c:v>
                </c:pt>
                <c:pt idx="33">
                  <c:v>1778.63</c:v>
                </c:pt>
                <c:pt idx="34">
                  <c:v>1658.24</c:v>
                </c:pt>
                <c:pt idx="35">
                  <c:v>1530.7</c:v>
                </c:pt>
                <c:pt idx="36">
                  <c:v>1398.76</c:v>
                </c:pt>
                <c:pt idx="37">
                  <c:v>1244.68</c:v>
                </c:pt>
                <c:pt idx="38">
                  <c:v>1070.1500000000001</c:v>
                </c:pt>
                <c:pt idx="39">
                  <c:v>882.22299999999996</c:v>
                </c:pt>
                <c:pt idx="40">
                  <c:v>720.06100000000004</c:v>
                </c:pt>
                <c:pt idx="41">
                  <c:v>595.86</c:v>
                </c:pt>
                <c:pt idx="42">
                  <c:v>522.16200000000003</c:v>
                </c:pt>
                <c:pt idx="43">
                  <c:v>511.62900000000002</c:v>
                </c:pt>
                <c:pt idx="44">
                  <c:v>576.96600000000001</c:v>
                </c:pt>
                <c:pt idx="45">
                  <c:v>731.06399999999996</c:v>
                </c:pt>
                <c:pt idx="46">
                  <c:v>987.29600000000005</c:v>
                </c:pt>
                <c:pt idx="47">
                  <c:v>1359.81</c:v>
                </c:pt>
                <c:pt idx="48">
                  <c:v>1863.76</c:v>
                </c:pt>
                <c:pt idx="49">
                  <c:v>2515.3000000000002</c:v>
                </c:pt>
                <c:pt idx="50">
                  <c:v>3331.61</c:v>
                </c:pt>
                <c:pt idx="51">
                  <c:v>4330.59</c:v>
                </c:pt>
                <c:pt idx="52">
                  <c:v>5530.7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A-BE4E-956D-4C7CFDAD9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25647"/>
        <c:axId val="189505615"/>
      </c:scatterChart>
      <c:valAx>
        <c:axId val="158325647"/>
        <c:scaling>
          <c:orientation val="minMax"/>
          <c:max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w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505615"/>
        <c:crosses val="autoZero"/>
        <c:crossBetween val="midCat"/>
      </c:valAx>
      <c:valAx>
        <c:axId val="189505615"/>
        <c:scaling>
          <c:orientation val="minMax"/>
          <c:max val="3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32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749300</xdr:colOff>
      <xdr:row>30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A1D58E-8DF3-3B45-BD17-29CDFF5AF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0</xdr:row>
      <xdr:rowOff>25400</xdr:rowOff>
    </xdr:from>
    <xdr:to>
      <xdr:col>18</xdr:col>
      <xdr:colOff>800100</xdr:colOff>
      <xdr:row>30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BCE850-88D1-CF07-4BD4-228983B37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749300</xdr:colOff>
      <xdr:row>30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2A88FD-5E9C-BA42-9A49-C12B659A7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749300</xdr:colOff>
      <xdr:row>30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FC044E-2DD7-D845-A8CA-749CF481A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50800</xdr:colOff>
      <xdr:row>0</xdr:row>
      <xdr:rowOff>0</xdr:rowOff>
    </xdr:from>
    <xdr:to>
      <xdr:col>22</xdr:col>
      <xdr:colOff>800100</xdr:colOff>
      <xdr:row>30</xdr:row>
      <xdr:rowOff>139700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A27D70-C296-9945-AC64-9ADFD9484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824345</xdr:colOff>
      <xdr:row>0</xdr:row>
      <xdr:rowOff>1</xdr:rowOff>
    </xdr:from>
    <xdr:to>
      <xdr:col>21</xdr:col>
      <xdr:colOff>572655</xdr:colOff>
      <xdr:row>30</xdr:row>
      <xdr:rowOff>139701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808A9C-FA33-8046-A2BD-5FCDDE768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0</xdr:row>
      <xdr:rowOff>0</xdr:rowOff>
    </xdr:from>
    <xdr:to>
      <xdr:col>17</xdr:col>
      <xdr:colOff>800100</xdr:colOff>
      <xdr:row>30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B8FA4D-F33E-9849-9F53-E1FB7E40C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50802</xdr:colOff>
      <xdr:row>0</xdr:row>
      <xdr:rowOff>0</xdr:rowOff>
    </xdr:from>
    <xdr:to>
      <xdr:col>20</xdr:col>
      <xdr:colOff>800102</xdr:colOff>
      <xdr:row>30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108716-F555-BF46-9487-FEB855E5F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B42D-82EE-5F4A-83D8-125B5477750E}">
  <dimension ref="A1:H48"/>
  <sheetViews>
    <sheetView workbookViewId="0">
      <selection activeCell="D7" sqref="D7:F7"/>
    </sheetView>
  </sheetViews>
  <sheetFormatPr baseColWidth="10" defaultRowHeight="16" x14ac:dyDescent="0.2"/>
  <sheetData>
    <row r="1" spans="1:8" x14ac:dyDescent="0.2">
      <c r="A1" s="9" t="s">
        <v>0</v>
      </c>
      <c r="B1" s="10">
        <v>100</v>
      </c>
    </row>
    <row r="2" spans="1:8" x14ac:dyDescent="0.2">
      <c r="A2" s="9" t="s">
        <v>1</v>
      </c>
      <c r="B2" s="10">
        <v>10</v>
      </c>
    </row>
    <row r="3" spans="1:8" x14ac:dyDescent="0.2">
      <c r="A3" s="11" t="s">
        <v>10</v>
      </c>
      <c r="B3" s="15">
        <v>0.03</v>
      </c>
    </row>
    <row r="4" spans="1:8" x14ac:dyDescent="0.2">
      <c r="A4" s="11" t="s">
        <v>9</v>
      </c>
      <c r="B4" s="15">
        <f>B3*B2^3/(3*B1)</f>
        <v>0.1</v>
      </c>
    </row>
    <row r="6" spans="1:8" ht="17" thickBot="1" x14ac:dyDescent="0.25"/>
    <row r="7" spans="1:8" ht="17" thickBot="1" x14ac:dyDescent="0.25">
      <c r="A7" s="20" t="s">
        <v>14</v>
      </c>
      <c r="B7" s="21" t="s">
        <v>11</v>
      </c>
      <c r="C7" s="22" t="s">
        <v>12</v>
      </c>
      <c r="D7" s="62" t="s">
        <v>13</v>
      </c>
      <c r="E7" s="63" t="s">
        <v>5</v>
      </c>
      <c r="F7" s="64" t="s">
        <v>6</v>
      </c>
      <c r="G7" s="60" t="s">
        <v>33</v>
      </c>
      <c r="H7" s="60" t="s">
        <v>35</v>
      </c>
    </row>
    <row r="8" spans="1:8" x14ac:dyDescent="0.2">
      <c r="A8" s="30">
        <v>0</v>
      </c>
      <c r="B8" s="36">
        <v>0</v>
      </c>
      <c r="C8" s="37">
        <v>0</v>
      </c>
      <c r="D8" s="31">
        <v>0</v>
      </c>
      <c r="E8" s="18">
        <v>0</v>
      </c>
      <c r="F8" s="19">
        <v>0</v>
      </c>
      <c r="G8" s="1"/>
    </row>
    <row r="9" spans="1:8" x14ac:dyDescent="0.2">
      <c r="A9" s="26">
        <v>0.05</v>
      </c>
      <c r="B9" s="38">
        <v>2.5999999999999999E-2</v>
      </c>
      <c r="C9" s="39">
        <v>0.66300000000000003</v>
      </c>
      <c r="D9" s="28">
        <v>2.5000000000000001E-2</v>
      </c>
      <c r="E9" s="3">
        <v>6.6547899999999998E-3</v>
      </c>
      <c r="F9" s="7">
        <v>0.33297300000000002</v>
      </c>
      <c r="G9" s="1"/>
    </row>
    <row r="10" spans="1:8" x14ac:dyDescent="0.2">
      <c r="A10" s="26">
        <v>0.1</v>
      </c>
      <c r="B10" s="38">
        <v>0.10299999999999999</v>
      </c>
      <c r="C10" s="39">
        <v>1.3089999999999999</v>
      </c>
      <c r="D10" s="28">
        <v>0.05</v>
      </c>
      <c r="E10" s="3">
        <v>2.6468599999999998E-2</v>
      </c>
      <c r="F10" s="7">
        <v>0.66368499999999997</v>
      </c>
      <c r="G10" s="1"/>
    </row>
    <row r="11" spans="1:8" x14ac:dyDescent="0.2">
      <c r="A11" s="26">
        <v>0.15</v>
      </c>
      <c r="B11" s="38">
        <v>0.224</v>
      </c>
      <c r="C11" s="39">
        <v>1.9219999999999999</v>
      </c>
      <c r="D11" s="28">
        <v>7.4999999999999997E-2</v>
      </c>
      <c r="E11" s="3">
        <v>5.9000900000000002E-2</v>
      </c>
      <c r="F11" s="7">
        <v>0.98996700000000004</v>
      </c>
      <c r="G11" s="1"/>
    </row>
    <row r="12" spans="1:8" x14ac:dyDescent="0.2">
      <c r="A12" s="26">
        <v>0.2</v>
      </c>
      <c r="B12" s="38">
        <v>0.38100000000000001</v>
      </c>
      <c r="C12" s="39">
        <v>2.4929999999999999</v>
      </c>
      <c r="D12" s="28">
        <v>0.1</v>
      </c>
      <c r="E12" s="3">
        <v>0.10355200000000001</v>
      </c>
      <c r="F12" s="7">
        <v>1.30983</v>
      </c>
      <c r="G12" s="55">
        <f>E12/B10 - 1</f>
        <v>5.3592233009709389E-3</v>
      </c>
      <c r="H12" s="55">
        <f>F12/C10 - 1</f>
        <v>6.3407181054242479E-4</v>
      </c>
    </row>
    <row r="13" spans="1:8" x14ac:dyDescent="0.2">
      <c r="A13" s="26">
        <v>0.25</v>
      </c>
      <c r="B13" s="38">
        <v>0.56299999999999994</v>
      </c>
      <c r="C13" s="39">
        <v>3.0150000000000001</v>
      </c>
      <c r="D13" s="28">
        <v>0.125</v>
      </c>
      <c r="E13" s="3">
        <v>0.15920899999999999</v>
      </c>
      <c r="F13" s="7">
        <v>1.6215299999999999</v>
      </c>
      <c r="G13" s="1"/>
      <c r="H13" s="1"/>
    </row>
    <row r="14" spans="1:8" x14ac:dyDescent="0.2">
      <c r="A14" s="26">
        <v>0.3</v>
      </c>
      <c r="B14" s="38">
        <v>0.76300000000000001</v>
      </c>
      <c r="C14" s="39">
        <v>3.488</v>
      </c>
      <c r="D14" s="28">
        <v>0.15</v>
      </c>
      <c r="E14" s="3">
        <v>0.22490399999999999</v>
      </c>
      <c r="F14" s="7">
        <v>1.9236200000000001</v>
      </c>
      <c r="G14" s="1"/>
      <c r="H14" s="1"/>
    </row>
    <row r="15" spans="1:8" x14ac:dyDescent="0.2">
      <c r="A15" s="26">
        <v>0.35</v>
      </c>
      <c r="B15" s="38">
        <v>0.97099999999999997</v>
      </c>
      <c r="C15" s="39">
        <v>3.9119999999999999</v>
      </c>
      <c r="D15" s="28">
        <v>0.17499999999999999</v>
      </c>
      <c r="E15" s="3">
        <v>0.29947099999999999</v>
      </c>
      <c r="F15" s="7">
        <v>2.21495</v>
      </c>
      <c r="G15" s="1"/>
      <c r="H15" s="1"/>
    </row>
    <row r="16" spans="1:8" x14ac:dyDescent="0.2">
      <c r="A16" s="26">
        <v>0.4</v>
      </c>
      <c r="B16" s="38">
        <v>1.1839999999999999</v>
      </c>
      <c r="C16" s="39">
        <v>4.2919999999999998</v>
      </c>
      <c r="D16" s="28">
        <v>0.2</v>
      </c>
      <c r="E16" s="3">
        <v>0.38170300000000001</v>
      </c>
      <c r="F16" s="7">
        <v>2.4946700000000002</v>
      </c>
      <c r="G16" s="55">
        <f>E16/B12 - 1</f>
        <v>1.8451443569553749E-3</v>
      </c>
      <c r="H16" s="55">
        <f>F16/C12 - 1</f>
        <v>6.698756518253024E-4</v>
      </c>
    </row>
    <row r="17" spans="1:8" x14ac:dyDescent="0.2">
      <c r="A17" s="26">
        <v>0.45</v>
      </c>
      <c r="B17" s="38">
        <v>1.3959999999999999</v>
      </c>
      <c r="C17" s="39">
        <v>4.6310000000000002</v>
      </c>
      <c r="D17" s="28">
        <v>0.22500000000000001</v>
      </c>
      <c r="E17" s="3">
        <v>0.47039900000000001</v>
      </c>
      <c r="F17" s="7">
        <v>2.7622499999999999</v>
      </c>
      <c r="G17" s="1"/>
      <c r="H17" s="1"/>
    </row>
    <row r="18" spans="1:8" x14ac:dyDescent="0.2">
      <c r="A18" s="26">
        <v>0.5</v>
      </c>
      <c r="B18" s="38">
        <v>1.6040000000000001</v>
      </c>
      <c r="C18" s="39">
        <v>4.9329999999999998</v>
      </c>
      <c r="D18" s="28">
        <v>0.25</v>
      </c>
      <c r="E18" s="3">
        <v>0.56440400000000002</v>
      </c>
      <c r="F18" s="7">
        <v>3.0173999999999999</v>
      </c>
      <c r="G18" s="1"/>
      <c r="H18" s="1"/>
    </row>
    <row r="19" spans="1:8" x14ac:dyDescent="0.2">
      <c r="A19" s="26">
        <v>0.55000000000000004</v>
      </c>
      <c r="B19" s="38">
        <v>1.8069999999999999</v>
      </c>
      <c r="C19" s="39">
        <v>5.202</v>
      </c>
      <c r="D19" s="28">
        <v>0.27500000000000002</v>
      </c>
      <c r="E19" s="3">
        <v>0.66263399999999995</v>
      </c>
      <c r="F19" s="7">
        <v>3.2600600000000002</v>
      </c>
      <c r="G19" s="1"/>
      <c r="H19" s="1"/>
    </row>
    <row r="20" spans="1:8" x14ac:dyDescent="0.2">
      <c r="A20" s="26">
        <v>0.6</v>
      </c>
      <c r="B20" s="38">
        <v>2.0019999999999998</v>
      </c>
      <c r="C20" s="39">
        <v>5.444</v>
      </c>
      <c r="D20" s="28">
        <v>0.3</v>
      </c>
      <c r="E20" s="3">
        <v>0.76410199999999995</v>
      </c>
      <c r="F20" s="7">
        <v>3.4903400000000002</v>
      </c>
      <c r="G20" s="55">
        <f>E20/B14 - 1</f>
        <v>1.4442988204454998E-3</v>
      </c>
      <c r="H20" s="55">
        <f>F20/C14 - 1</f>
        <v>6.7087155963307943E-4</v>
      </c>
    </row>
    <row r="21" spans="1:8" x14ac:dyDescent="0.2">
      <c r="A21" s="26">
        <v>0.65</v>
      </c>
      <c r="B21" s="38">
        <v>2.19</v>
      </c>
      <c r="C21" s="39">
        <v>5.66</v>
      </c>
      <c r="D21" s="28">
        <v>0.32500000000000001</v>
      </c>
      <c r="E21" s="3">
        <v>0.86791700000000005</v>
      </c>
      <c r="F21" s="7">
        <v>3.7084999999999999</v>
      </c>
      <c r="G21" s="1"/>
      <c r="H21" s="1"/>
    </row>
    <row r="22" spans="1:8" x14ac:dyDescent="0.2">
      <c r="A22" s="26">
        <v>0.7</v>
      </c>
      <c r="B22" s="38">
        <v>2.37</v>
      </c>
      <c r="C22" s="39">
        <v>5.8550000000000004</v>
      </c>
      <c r="D22" s="28">
        <v>0.35</v>
      </c>
      <c r="E22" s="3">
        <v>0.97329600000000005</v>
      </c>
      <c r="F22" s="7">
        <v>3.91493</v>
      </c>
      <c r="G22" s="1"/>
      <c r="H22" s="1"/>
    </row>
    <row r="23" spans="1:8" x14ac:dyDescent="0.2">
      <c r="A23" s="26">
        <v>0.75</v>
      </c>
      <c r="B23" s="38">
        <v>2.5409999999999999</v>
      </c>
      <c r="C23" s="39">
        <v>6.0309999999999997</v>
      </c>
      <c r="D23" s="28">
        <v>0.375</v>
      </c>
      <c r="E23" s="3">
        <v>1.0795600000000001</v>
      </c>
      <c r="F23" s="7">
        <v>4.1100700000000003</v>
      </c>
      <c r="G23" s="1"/>
      <c r="H23" s="1"/>
    </row>
    <row r="24" spans="1:8" x14ac:dyDescent="0.2">
      <c r="A24" s="26">
        <v>0.8</v>
      </c>
      <c r="B24" s="38">
        <v>2.7050000000000001</v>
      </c>
      <c r="C24" s="39">
        <v>6.19</v>
      </c>
      <c r="D24" s="28">
        <v>0.4</v>
      </c>
      <c r="E24" s="3">
        <v>1.1861200000000001</v>
      </c>
      <c r="F24" s="7">
        <v>4.2944300000000002</v>
      </c>
      <c r="G24" s="55">
        <f>E24/B16 - 1</f>
        <v>1.7905405405407304E-3</v>
      </c>
      <c r="H24" s="55">
        <f>F24/C16 - 1</f>
        <v>5.6616961789379694E-4</v>
      </c>
    </row>
    <row r="25" spans="1:8" x14ac:dyDescent="0.2">
      <c r="A25" s="26">
        <v>0.85</v>
      </c>
      <c r="B25" s="38">
        <v>2.8610000000000002</v>
      </c>
      <c r="C25" s="39">
        <v>6.335</v>
      </c>
      <c r="D25" s="28">
        <v>0.42499999999999999</v>
      </c>
      <c r="E25" s="3">
        <v>1.2924899999999999</v>
      </c>
      <c r="F25" s="7">
        <v>4.4685499999999996</v>
      </c>
      <c r="G25" s="1"/>
      <c r="H25" s="1"/>
    </row>
    <row r="26" spans="1:8" x14ac:dyDescent="0.2">
      <c r="A26" s="26">
        <v>0.9</v>
      </c>
      <c r="B26" s="38">
        <v>3.01</v>
      </c>
      <c r="C26" s="39">
        <v>6.4669999999999996</v>
      </c>
      <c r="D26" s="28">
        <v>0.45</v>
      </c>
      <c r="E26" s="3">
        <v>1.3982399999999999</v>
      </c>
      <c r="F26" s="7">
        <v>4.6329799999999999</v>
      </c>
      <c r="G26" s="1"/>
      <c r="H26" s="1"/>
    </row>
    <row r="27" spans="1:8" x14ac:dyDescent="0.2">
      <c r="A27" s="26">
        <v>0.95</v>
      </c>
      <c r="B27" s="38">
        <v>3.1509999999999998</v>
      </c>
      <c r="C27" s="39">
        <v>6.5880000000000001</v>
      </c>
      <c r="D27" s="28">
        <v>0.47499999999999998</v>
      </c>
      <c r="E27" s="3">
        <v>1.50305</v>
      </c>
      <c r="F27" s="7">
        <v>4.7882600000000002</v>
      </c>
      <c r="G27" s="1"/>
      <c r="H27" s="1"/>
    </row>
    <row r="28" spans="1:8" ht="17" thickBot="1" x14ac:dyDescent="0.25">
      <c r="A28" s="27">
        <v>1</v>
      </c>
      <c r="B28" s="40">
        <v>3.286</v>
      </c>
      <c r="C28" s="41">
        <v>6.6980000000000004</v>
      </c>
      <c r="D28" s="28">
        <v>0.5</v>
      </c>
      <c r="E28" s="3">
        <v>1.6066400000000001</v>
      </c>
      <c r="F28" s="7">
        <v>4.9349499999999997</v>
      </c>
      <c r="G28" s="55">
        <f>E28/B18 - 1</f>
        <v>1.6458852867831109E-3</v>
      </c>
      <c r="H28" s="55">
        <f>F28/C18 - 1</f>
        <v>3.952969795255612E-4</v>
      </c>
    </row>
    <row r="29" spans="1:8" x14ac:dyDescent="0.2">
      <c r="B29" s="1"/>
      <c r="C29" s="1"/>
      <c r="D29" s="28">
        <v>0.52500000000000002</v>
      </c>
      <c r="E29" s="3">
        <v>1.7087699999999999</v>
      </c>
      <c r="F29" s="7">
        <v>5.0735599999999996</v>
      </c>
      <c r="G29" s="1"/>
      <c r="H29" s="1"/>
    </row>
    <row r="30" spans="1:8" x14ac:dyDescent="0.2">
      <c r="B30" s="1"/>
      <c r="C30" s="1"/>
      <c r="D30" s="28">
        <v>0.55000000000000004</v>
      </c>
      <c r="E30" s="3">
        <v>1.8092900000000001</v>
      </c>
      <c r="F30" s="7">
        <v>5.2046099999999997</v>
      </c>
      <c r="G30" s="1"/>
      <c r="H30" s="1"/>
    </row>
    <row r="31" spans="1:8" x14ac:dyDescent="0.2">
      <c r="B31" s="1"/>
      <c r="C31" s="1"/>
      <c r="D31" s="28">
        <v>0.57499999999999996</v>
      </c>
      <c r="E31" s="3">
        <v>1.90804</v>
      </c>
      <c r="F31" s="7">
        <v>5.32857</v>
      </c>
      <c r="G31" s="1"/>
      <c r="H31" s="1"/>
    </row>
    <row r="32" spans="1:8" x14ac:dyDescent="0.2">
      <c r="B32" s="1"/>
      <c r="C32" s="1"/>
      <c r="D32" s="28">
        <v>0.6</v>
      </c>
      <c r="E32" s="3">
        <v>2.0049299999999999</v>
      </c>
      <c r="F32" s="7">
        <v>5.4459</v>
      </c>
      <c r="G32" s="55">
        <f>E32/B20 - 1</f>
        <v>1.4635364635364745E-3</v>
      </c>
      <c r="H32" s="55">
        <f>F32/C20 - 1</f>
        <v>3.4900808229232361E-4</v>
      </c>
    </row>
    <row r="33" spans="2:8" x14ac:dyDescent="0.2">
      <c r="B33" s="1"/>
      <c r="C33" s="1"/>
      <c r="D33" s="28">
        <v>0.625</v>
      </c>
      <c r="E33" s="3">
        <v>2.0998800000000002</v>
      </c>
      <c r="F33" s="7">
        <v>5.5570399999999998</v>
      </c>
      <c r="G33" s="1"/>
      <c r="H33" s="1"/>
    </row>
    <row r="34" spans="2:8" x14ac:dyDescent="0.2">
      <c r="B34" s="1"/>
      <c r="C34" s="1"/>
      <c r="D34" s="28">
        <v>0.65</v>
      </c>
      <c r="E34" s="3">
        <v>2.19286</v>
      </c>
      <c r="F34" s="7">
        <v>5.6623900000000003</v>
      </c>
      <c r="G34" s="1"/>
      <c r="H34" s="1"/>
    </row>
    <row r="35" spans="2:8" x14ac:dyDescent="0.2">
      <c r="B35" s="1"/>
      <c r="C35" s="1"/>
      <c r="D35" s="28">
        <v>0.67500000000000004</v>
      </c>
      <c r="E35" s="3">
        <v>2.28382</v>
      </c>
      <c r="F35" s="7">
        <v>5.7623300000000004</v>
      </c>
      <c r="G35" s="1"/>
      <c r="H35" s="1"/>
    </row>
    <row r="36" spans="2:8" x14ac:dyDescent="0.2">
      <c r="B36" s="1"/>
      <c r="C36" s="1"/>
      <c r="D36" s="28">
        <v>0.7</v>
      </c>
      <c r="E36" s="3">
        <v>2.37276</v>
      </c>
      <c r="F36" s="7">
        <v>5.8571999999999997</v>
      </c>
      <c r="G36" s="55">
        <f>E36/B22 - 1</f>
        <v>1.1645569620253315E-3</v>
      </c>
      <c r="H36" s="55">
        <f>F36/C22 - 1</f>
        <v>3.7574722459421395E-4</v>
      </c>
    </row>
    <row r="37" spans="2:8" x14ac:dyDescent="0.2">
      <c r="B37" s="1"/>
      <c r="C37" s="1"/>
      <c r="D37" s="28">
        <v>0.72499999999999998</v>
      </c>
      <c r="E37" s="3">
        <v>2.45967</v>
      </c>
      <c r="F37" s="7">
        <v>5.9473399999999996</v>
      </c>
      <c r="G37" s="1"/>
      <c r="H37" s="1"/>
    </row>
    <row r="38" spans="2:8" x14ac:dyDescent="0.2">
      <c r="B38" s="1"/>
      <c r="C38" s="1"/>
      <c r="D38" s="28">
        <v>0.75</v>
      </c>
      <c r="E38" s="3">
        <v>2.5445700000000002</v>
      </c>
      <c r="F38" s="7">
        <v>6.0330599999999999</v>
      </c>
      <c r="G38" s="1"/>
      <c r="H38" s="1"/>
    </row>
    <row r="39" spans="2:8" x14ac:dyDescent="0.2">
      <c r="B39" s="1"/>
      <c r="C39" s="1"/>
      <c r="D39" s="28">
        <v>0.77500000000000002</v>
      </c>
      <c r="E39" s="3">
        <v>2.6274799999999998</v>
      </c>
      <c r="F39" s="7">
        <v>6.11463</v>
      </c>
      <c r="G39" s="1"/>
      <c r="H39" s="1"/>
    </row>
    <row r="40" spans="2:8" x14ac:dyDescent="0.2">
      <c r="B40" s="1"/>
      <c r="C40" s="1"/>
      <c r="D40" s="28">
        <v>0.8</v>
      </c>
      <c r="E40" s="3">
        <v>2.7084299999999999</v>
      </c>
      <c r="F40" s="7">
        <v>6.1923199999999996</v>
      </c>
      <c r="G40" s="55">
        <f>E40/B24 - 1</f>
        <v>1.2680221811458559E-3</v>
      </c>
      <c r="H40" s="55">
        <f>F40/C24 - 1</f>
        <v>3.7479806138929206E-4</v>
      </c>
    </row>
    <row r="41" spans="2:8" x14ac:dyDescent="0.2">
      <c r="B41" s="1"/>
      <c r="C41" s="1"/>
      <c r="D41" s="28">
        <v>0.82499999999999996</v>
      </c>
      <c r="E41" s="3">
        <v>2.7874400000000001</v>
      </c>
      <c r="F41" s="7">
        <v>6.2663900000000003</v>
      </c>
      <c r="G41" s="1"/>
    </row>
    <row r="42" spans="2:8" x14ac:dyDescent="0.2">
      <c r="B42" s="1"/>
      <c r="C42" s="1"/>
      <c r="D42" s="28">
        <v>0.85</v>
      </c>
      <c r="E42" s="3">
        <v>2.86456</v>
      </c>
      <c r="F42" s="7">
        <v>6.33704</v>
      </c>
      <c r="G42" s="1"/>
    </row>
    <row r="43" spans="2:8" x14ac:dyDescent="0.2">
      <c r="B43" s="1"/>
      <c r="C43" s="1"/>
      <c r="D43" s="28">
        <v>0.875</v>
      </c>
      <c r="E43" s="3">
        <v>2.9398300000000002</v>
      </c>
      <c r="F43" s="7">
        <v>6.4045100000000001</v>
      </c>
      <c r="G43" s="1"/>
    </row>
    <row r="44" spans="2:8" x14ac:dyDescent="0.2">
      <c r="B44" s="1"/>
      <c r="C44" s="1"/>
      <c r="D44" s="28">
        <v>0.9</v>
      </c>
      <c r="E44" s="3">
        <v>3.01329</v>
      </c>
      <c r="F44" s="7">
        <v>6.4689699999999997</v>
      </c>
      <c r="G44" s="55">
        <f>E44/B26 - 1</f>
        <v>1.0930232558139519E-3</v>
      </c>
      <c r="H44" s="55">
        <f>F44/C26 - 1</f>
        <v>3.0462347301685178E-4</v>
      </c>
    </row>
    <row r="45" spans="2:8" x14ac:dyDescent="0.2">
      <c r="B45" s="1"/>
      <c r="C45" s="1"/>
      <c r="D45" s="28">
        <v>0.92500000000000004</v>
      </c>
      <c r="E45" s="3">
        <v>3.0849799999999998</v>
      </c>
      <c r="F45" s="7">
        <v>6.5306199999999999</v>
      </c>
      <c r="G45" s="1"/>
    </row>
    <row r="46" spans="2:8" x14ac:dyDescent="0.2">
      <c r="B46" s="1"/>
      <c r="C46" s="1"/>
      <c r="D46" s="28">
        <v>0.95</v>
      </c>
      <c r="E46" s="3">
        <v>3.1549499999999999</v>
      </c>
      <c r="F46" s="7">
        <v>6.58962</v>
      </c>
      <c r="G46" s="1"/>
    </row>
    <row r="47" spans="2:8" x14ac:dyDescent="0.2">
      <c r="B47" s="1"/>
      <c r="C47" s="1"/>
      <c r="D47" s="28">
        <v>0.97499999999999998</v>
      </c>
      <c r="E47" s="3">
        <v>3.2232400000000001</v>
      </c>
      <c r="F47" s="7">
        <v>6.6461300000000003</v>
      </c>
      <c r="G47" s="1"/>
    </row>
    <row r="48" spans="2:8" ht="17" thickBot="1" x14ac:dyDescent="0.25">
      <c r="B48" s="1"/>
      <c r="C48" s="1"/>
      <c r="D48" s="29">
        <v>1</v>
      </c>
      <c r="E48" s="6">
        <v>3.2899099999999999</v>
      </c>
      <c r="F48" s="8">
        <v>6.7003000000000004</v>
      </c>
      <c r="G48" s="55">
        <f>E48/B28 - 1</f>
        <v>1.1898965307364229E-3</v>
      </c>
      <c r="H48" s="55">
        <f>F48/C28 - 1</f>
        <v>3.4338608539852267E-4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10A4-D975-0040-883F-689DFA54B5A8}">
  <dimension ref="A1:G141"/>
  <sheetViews>
    <sheetView zoomScaleNormal="100" workbookViewId="0">
      <selection activeCell="D9" sqref="D9:E9"/>
    </sheetView>
  </sheetViews>
  <sheetFormatPr baseColWidth="10" defaultRowHeight="16" x14ac:dyDescent="0.2"/>
  <sheetData>
    <row r="1" spans="1:7" x14ac:dyDescent="0.2">
      <c r="A1" s="9" t="s">
        <v>0</v>
      </c>
      <c r="B1" s="10">
        <v>100</v>
      </c>
    </row>
    <row r="2" spans="1:7" x14ac:dyDescent="0.2">
      <c r="A2" s="9" t="s">
        <v>1</v>
      </c>
      <c r="B2" s="10">
        <v>10</v>
      </c>
    </row>
    <row r="3" spans="1:7" x14ac:dyDescent="0.2">
      <c r="A3" s="11" t="s">
        <v>8</v>
      </c>
      <c r="B3" s="15">
        <v>0.1</v>
      </c>
    </row>
    <row r="4" spans="1:7" x14ac:dyDescent="0.2">
      <c r="A4" s="11" t="s">
        <v>9</v>
      </c>
      <c r="B4" s="15">
        <f>B3*B2^2/(2*B1)</f>
        <v>0.05</v>
      </c>
    </row>
    <row r="5" spans="1:7" x14ac:dyDescent="0.2">
      <c r="A5" s="12" t="s">
        <v>2</v>
      </c>
      <c r="B5" s="13">
        <f>B1/B2</f>
        <v>10</v>
      </c>
    </row>
    <row r="6" spans="1:7" x14ac:dyDescent="0.2">
      <c r="A6" s="12" t="s">
        <v>7</v>
      </c>
      <c r="B6" s="14">
        <f>2*PI()*B5</f>
        <v>62.831853071795862</v>
      </c>
    </row>
    <row r="7" spans="1:7" x14ac:dyDescent="0.2">
      <c r="A7" s="2"/>
      <c r="B7" s="1"/>
    </row>
    <row r="8" spans="1:7" ht="17" thickBot="1" x14ac:dyDescent="0.25">
      <c r="A8" s="2"/>
      <c r="B8" s="1"/>
    </row>
    <row r="9" spans="1:7" ht="17" thickBot="1" x14ac:dyDescent="0.25">
      <c r="A9" s="33" t="s">
        <v>4</v>
      </c>
      <c r="B9" s="34" t="s">
        <v>3</v>
      </c>
      <c r="C9" s="35" t="s">
        <v>38</v>
      </c>
      <c r="D9" s="66" t="s">
        <v>5</v>
      </c>
      <c r="E9" s="67" t="s">
        <v>6</v>
      </c>
      <c r="F9" s="60" t="s">
        <v>33</v>
      </c>
      <c r="G9" s="60" t="s">
        <v>34</v>
      </c>
    </row>
    <row r="10" spans="1:7" x14ac:dyDescent="0.2">
      <c r="A10" s="25">
        <v>0</v>
      </c>
      <c r="B10" s="23">
        <v>0</v>
      </c>
      <c r="C10" s="32">
        <v>0</v>
      </c>
      <c r="D10" s="23">
        <v>0</v>
      </c>
      <c r="E10" s="24">
        <v>0</v>
      </c>
    </row>
    <row r="11" spans="1:7" x14ac:dyDescent="0.2">
      <c r="A11" s="16">
        <v>0.01</v>
      </c>
      <c r="B11" s="4">
        <f t="shared" ref="B11:B42" si="0">$B$2*(1 - $B$5/($B$6*A11)*SIN(($B$6*A11)/$B$5))</f>
        <v>6.5784376015876056E-3</v>
      </c>
      <c r="C11" s="3">
        <f t="shared" ref="C11:C42" si="1">$B$2*(1 - COS(($B$6*A11)/$B$5))*$B$5/($B$6*A11)</f>
        <v>0.31405592470329491</v>
      </c>
      <c r="D11" s="4">
        <v>6.5789500000000001E-3</v>
      </c>
      <c r="E11" s="7">
        <v>0.314056</v>
      </c>
    </row>
    <row r="12" spans="1:7" x14ac:dyDescent="0.2">
      <c r="A12" s="16">
        <v>0.02</v>
      </c>
      <c r="B12" s="4">
        <f t="shared" si="0"/>
        <v>2.6298172274964449E-2</v>
      </c>
      <c r="C12" s="3">
        <f t="shared" si="1"/>
        <v>0.62749213177843544</v>
      </c>
      <c r="D12" s="4">
        <v>2.6300299999999999E-2</v>
      </c>
      <c r="E12" s="7">
        <v>0.627494</v>
      </c>
    </row>
    <row r="13" spans="1:7" x14ac:dyDescent="0.2">
      <c r="A13" s="16">
        <v>0.03</v>
      </c>
      <c r="B13" s="4">
        <f t="shared" si="0"/>
        <v>5.9112513541487166E-2</v>
      </c>
      <c r="C13" s="3">
        <f t="shared" si="1"/>
        <v>0.93969053409218573</v>
      </c>
      <c r="D13" s="4">
        <v>5.9117599999999999E-2</v>
      </c>
      <c r="E13" s="7">
        <v>0.93969599999999998</v>
      </c>
    </row>
    <row r="14" spans="1:7" x14ac:dyDescent="0.2">
      <c r="A14" s="16">
        <v>0.04</v>
      </c>
      <c r="B14" s="4">
        <f t="shared" si="0"/>
        <v>0.10494379018691546</v>
      </c>
      <c r="C14" s="3">
        <f t="shared" si="1"/>
        <v>1.2500363006749917</v>
      </c>
      <c r="D14" s="4">
        <v>0.104953</v>
      </c>
      <c r="E14" s="7">
        <v>1.2500500000000001</v>
      </c>
    </row>
    <row r="15" spans="1:7" x14ac:dyDescent="0.2">
      <c r="A15" s="16">
        <v>0.05</v>
      </c>
      <c r="B15" s="4">
        <f t="shared" si="0"/>
        <v>0.16368356916534044</v>
      </c>
      <c r="C15" s="3">
        <f t="shared" si="1"/>
        <v>1.5579194727527892</v>
      </c>
      <c r="D15" s="4">
        <v>0.16369900000000001</v>
      </c>
      <c r="E15" s="7">
        <v>1.5579400000000001</v>
      </c>
    </row>
    <row r="16" spans="1:7" x14ac:dyDescent="0.2">
      <c r="A16" s="16">
        <v>0.06</v>
      </c>
      <c r="B16" s="4">
        <f t="shared" si="0"/>
        <v>0.23519296112344268</v>
      </c>
      <c r="C16" s="3">
        <f t="shared" si="1"/>
        <v>1.862736565361375</v>
      </c>
      <c r="D16" s="4">
        <v>0.23521700000000001</v>
      </c>
      <c r="E16" s="7">
        <v>1.86276</v>
      </c>
    </row>
    <row r="17" spans="1:7" x14ac:dyDescent="0.2">
      <c r="A17" s="16">
        <v>7.0000000000000007E-2</v>
      </c>
      <c r="B17" s="4">
        <f t="shared" si="0"/>
        <v>0.31930301160762009</v>
      </c>
      <c r="C17" s="3">
        <f t="shared" si="1"/>
        <v>2.1638921498083707</v>
      </c>
      <c r="D17" s="4">
        <v>0.31933699999999998</v>
      </c>
      <c r="E17" s="7">
        <v>2.1639200000000001</v>
      </c>
    </row>
    <row r="18" spans="1:7" x14ac:dyDescent="0.2">
      <c r="A18" s="16">
        <v>0.08</v>
      </c>
      <c r="B18" s="4">
        <f t="shared" si="0"/>
        <v>0.41581517675375101</v>
      </c>
      <c r="C18" s="3">
        <f t="shared" si="1"/>
        <v>2.4608004123083118</v>
      </c>
      <c r="D18" s="4">
        <v>0.41586299999999998</v>
      </c>
      <c r="E18" s="7">
        <v>2.4608400000000001</v>
      </c>
    </row>
    <row r="19" spans="1:7" x14ac:dyDescent="0.2">
      <c r="A19" s="16">
        <v>0.09</v>
      </c>
      <c r="B19" s="4">
        <f t="shared" si="0"/>
        <v>0.52450188200056869</v>
      </c>
      <c r="C19" s="3">
        <f t="shared" si="1"/>
        <v>2.7528866841915645</v>
      </c>
      <c r="D19" s="4">
        <v>0.52456499999999995</v>
      </c>
      <c r="E19" s="7">
        <v>2.7529400000000002</v>
      </c>
    </row>
    <row r="20" spans="1:7" x14ac:dyDescent="0.2">
      <c r="A20" s="16">
        <v>0.1</v>
      </c>
      <c r="B20" s="4">
        <f t="shared" si="0"/>
        <v>0.64510716211360841</v>
      </c>
      <c r="C20" s="3">
        <f t="shared" si="1"/>
        <v>3.0395889391774364</v>
      </c>
      <c r="D20" s="4">
        <v>0.64518900000000001</v>
      </c>
      <c r="E20" s="7">
        <v>3.03966</v>
      </c>
      <c r="F20" s="55">
        <f>D20/B20 - 1</f>
        <v>1.2685936724610158E-4</v>
      </c>
      <c r="G20" s="55">
        <f>E20/C20 - 1</f>
        <v>2.3378431750264994E-5</v>
      </c>
    </row>
    <row r="21" spans="1:7" x14ac:dyDescent="0.2">
      <c r="A21" s="16">
        <v>0.11</v>
      </c>
      <c r="B21" s="4">
        <f t="shared" si="0"/>
        <v>0.77734738055803887</v>
      </c>
      <c r="C21" s="3">
        <f t="shared" si="1"/>
        <v>3.3203592533057149</v>
      </c>
      <c r="D21" s="4">
        <v>0.77745200000000003</v>
      </c>
      <c r="E21" s="7">
        <v>3.3204400000000001</v>
      </c>
    </row>
    <row r="22" spans="1:7" x14ac:dyDescent="0.2">
      <c r="A22" s="16">
        <v>0.12</v>
      </c>
      <c r="B22" s="4">
        <f t="shared" si="0"/>
        <v>0.92091202601649269</v>
      </c>
      <c r="C22" s="3">
        <f t="shared" si="1"/>
        <v>3.5946652232386271</v>
      </c>
      <c r="D22" s="4">
        <v>0.92104299999999995</v>
      </c>
      <c r="E22" s="7">
        <v>3.59477</v>
      </c>
    </row>
    <row r="23" spans="1:7" x14ac:dyDescent="0.2">
      <c r="A23" s="16">
        <v>0.13</v>
      </c>
      <c r="B23" s="4">
        <f t="shared" si="0"/>
        <v>1.0754645836129384</v>
      </c>
      <c r="C23" s="3">
        <f t="shared" si="1"/>
        <v>3.861991338776404</v>
      </c>
      <c r="D23" s="4">
        <v>1.0756300000000001</v>
      </c>
      <c r="E23" s="7">
        <v>3.8621099999999999</v>
      </c>
    </row>
    <row r="24" spans="1:7" x14ac:dyDescent="0.2">
      <c r="A24" s="16">
        <v>0.14000000000000001</v>
      </c>
      <c r="B24" s="4">
        <f t="shared" si="0"/>
        <v>1.240643478176251</v>
      </c>
      <c r="C24" s="3">
        <f t="shared" si="1"/>
        <v>4.1218403055738388</v>
      </c>
      <c r="D24" s="4">
        <v>1.2408399999999999</v>
      </c>
      <c r="E24" s="7">
        <v>4.1219799999999998</v>
      </c>
    </row>
    <row r="25" spans="1:7" x14ac:dyDescent="0.2">
      <c r="A25" s="16">
        <v>0.15</v>
      </c>
      <c r="B25" s="4">
        <f t="shared" si="0"/>
        <v>1.4160630866586021</v>
      </c>
      <c r="C25" s="3">
        <f t="shared" si="1"/>
        <v>4.3737343142020944</v>
      </c>
      <c r="D25" s="4">
        <v>1.4162999999999999</v>
      </c>
      <c r="E25" s="7">
        <v>4.3738900000000003</v>
      </c>
    </row>
    <row r="26" spans="1:7" x14ac:dyDescent="0.2">
      <c r="A26" s="16">
        <v>0.16</v>
      </c>
      <c r="B26" s="4">
        <f t="shared" si="0"/>
        <v>1.6013148166142965</v>
      </c>
      <c r="C26" s="3">
        <f t="shared" si="1"/>
        <v>4.61721625186878</v>
      </c>
      <c r="D26" s="4">
        <v>1.6015999999999999</v>
      </c>
      <c r="E26" s="7">
        <v>4.6173900000000003</v>
      </c>
    </row>
    <row r="27" spans="1:7" x14ac:dyDescent="0.2">
      <c r="A27" s="16">
        <v>0.17</v>
      </c>
      <c r="B27" s="4">
        <f t="shared" si="0"/>
        <v>1.795968247445362</v>
      </c>
      <c r="C27" s="3">
        <f t="shared" si="1"/>
        <v>4.8518508532897267</v>
      </c>
      <c r="D27" s="4">
        <v>1.7963</v>
      </c>
      <c r="E27" s="7">
        <v>4.8520399999999997</v>
      </c>
    </row>
    <row r="28" spans="1:7" x14ac:dyDescent="0.2">
      <c r="A28" s="16">
        <v>0.18</v>
      </c>
      <c r="B28" s="4">
        <f t="shared" si="0"/>
        <v>1.9995723309312918</v>
      </c>
      <c r="C28" s="3">
        <f t="shared" si="1"/>
        <v>5.0772257873971496</v>
      </c>
      <c r="D28" s="4">
        <v>1.99996</v>
      </c>
      <c r="E28" s="7">
        <v>5.0774299999999997</v>
      </c>
    </row>
    <row r="29" spans="1:7" x14ac:dyDescent="0.2">
      <c r="A29" s="16">
        <v>0.19</v>
      </c>
      <c r="B29" s="4">
        <f t="shared" si="0"/>
        <v>2.2116566473827861</v>
      </c>
      <c r="C29" s="3">
        <f t="shared" si="1"/>
        <v>5.2929526767703141</v>
      </c>
      <c r="D29" s="4">
        <v>2.21211</v>
      </c>
      <c r="E29" s="7">
        <v>5.2931800000000004</v>
      </c>
    </row>
    <row r="30" spans="1:7" x14ac:dyDescent="0.2">
      <c r="A30" s="16">
        <v>0.2</v>
      </c>
      <c r="B30" s="4">
        <f t="shared" si="0"/>
        <v>2.4317327135934299</v>
      </c>
      <c r="C30" s="3">
        <f t="shared" si="1"/>
        <v>5.4986680468861024</v>
      </c>
      <c r="D30" s="4">
        <v>2.4322499999999998</v>
      </c>
      <c r="E30" s="7">
        <v>5.4989100000000004</v>
      </c>
      <c r="F30" s="55">
        <f>D30/B30 - 1</f>
        <v>2.1272338184141759E-4</v>
      </c>
      <c r="G30" s="55">
        <f>E30/C30 - 1</f>
        <v>4.4002131395215471E-5</v>
      </c>
    </row>
    <row r="31" spans="1:7" x14ac:dyDescent="0.2">
      <c r="A31" s="16">
        <v>0.21</v>
      </c>
      <c r="B31" s="4">
        <f t="shared" si="0"/>
        <v>2.659295338609744</v>
      </c>
      <c r="C31" s="3">
        <f t="shared" si="1"/>
        <v>5.6940342025068098</v>
      </c>
      <c r="D31" s="4">
        <v>2.6598899999999999</v>
      </c>
      <c r="E31" s="7">
        <v>5.6942899999999996</v>
      </c>
    </row>
    <row r="32" spans="1:7" x14ac:dyDescent="0.2">
      <c r="A32" s="16">
        <v>0.22</v>
      </c>
      <c r="B32" s="4">
        <f t="shared" si="0"/>
        <v>2.8938240231991474</v>
      </c>
      <c r="C32" s="3">
        <f t="shared" si="1"/>
        <v>5.8787400287509</v>
      </c>
      <c r="D32" s="4">
        <v>2.8944999999999999</v>
      </c>
      <c r="E32" s="7">
        <v>5.8789999999999996</v>
      </c>
    </row>
    <row r="33" spans="1:7" x14ac:dyDescent="0.2">
      <c r="A33" s="16">
        <v>0.23</v>
      </c>
      <c r="B33" s="4">
        <f t="shared" si="0"/>
        <v>3.1347843987678923</v>
      </c>
      <c r="C33" s="3">
        <f t="shared" si="1"/>
        <v>6.0525017146280549</v>
      </c>
      <c r="D33" s="4">
        <v>3.1355499999999998</v>
      </c>
      <c r="E33" s="7">
        <v>6.0527699999999998</v>
      </c>
    </row>
    <row r="34" spans="1:7" x14ac:dyDescent="0.2">
      <c r="A34" s="16">
        <v>0.24</v>
      </c>
      <c r="B34" s="4">
        <f t="shared" si="0"/>
        <v>3.3816297013669985</v>
      </c>
      <c r="C34" s="3">
        <f t="shared" si="1"/>
        <v>6.2150633970623712</v>
      </c>
      <c r="D34" s="4">
        <v>3.3824900000000002</v>
      </c>
      <c r="E34" s="7">
        <v>6.2153400000000003</v>
      </c>
    </row>
    <row r="35" spans="1:7" x14ac:dyDescent="0.2">
      <c r="A35" s="16">
        <v>0.25</v>
      </c>
      <c r="B35" s="4">
        <f t="shared" si="0"/>
        <v>3.633802276324186</v>
      </c>
      <c r="C35" s="3">
        <f t="shared" si="1"/>
        <v>6.3661977236758132</v>
      </c>
      <c r="D35" s="4">
        <v>3.63476</v>
      </c>
      <c r="E35" s="7">
        <v>6.3664699999999996</v>
      </c>
    </row>
    <row r="36" spans="1:7" x14ac:dyDescent="0.2">
      <c r="A36" s="16">
        <v>0.26</v>
      </c>
      <c r="B36" s="4">
        <f t="shared" si="0"/>
        <v>3.8907351089541518</v>
      </c>
      <c r="C36" s="3">
        <f t="shared" si="1"/>
        <v>6.5057063328574536</v>
      </c>
      <c r="D36" s="4">
        <v>3.8917999999999999</v>
      </c>
      <c r="E36" s="7">
        <v>6.5059699999999996</v>
      </c>
    </row>
    <row r="37" spans="1:7" x14ac:dyDescent="0.2">
      <c r="A37" s="16">
        <v>0.27</v>
      </c>
      <c r="B37" s="4">
        <f t="shared" si="0"/>
        <v>4.1518533767282042</v>
      </c>
      <c r="C37" s="3">
        <f t="shared" si="1"/>
        <v>6.6334202499016826</v>
      </c>
      <c r="D37" s="4">
        <v>4.1530300000000002</v>
      </c>
      <c r="E37" s="7">
        <v>6.6336700000000004</v>
      </c>
    </row>
    <row r="38" spans="1:7" x14ac:dyDescent="0.2">
      <c r="A38" s="16">
        <v>0.28000000000000003</v>
      </c>
      <c r="B38" s="4">
        <f t="shared" si="0"/>
        <v>4.4165760182279001</v>
      </c>
      <c r="C38" s="3">
        <f t="shared" si="1"/>
        <v>6.7492001982596745</v>
      </c>
      <c r="D38" s="4">
        <v>4.4178699999999997</v>
      </c>
      <c r="E38" s="7">
        <v>6.7494300000000003</v>
      </c>
    </row>
    <row r="39" spans="1:7" x14ac:dyDescent="0.2">
      <c r="A39" s="16">
        <v>0.28999999999999998</v>
      </c>
      <c r="B39" s="4">
        <f t="shared" si="0"/>
        <v>4.6843173141656758</v>
      </c>
      <c r="C39" s="3">
        <f t="shared" si="1"/>
        <v>6.8529368252119882</v>
      </c>
      <c r="D39" s="4">
        <v>4.68574</v>
      </c>
      <c r="E39" s="7">
        <v>6.8531399999999998</v>
      </c>
    </row>
    <row r="40" spans="1:7" x14ac:dyDescent="0.2">
      <c r="A40" s="16">
        <v>0.3</v>
      </c>
      <c r="B40" s="4">
        <f t="shared" si="0"/>
        <v>4.9544884757289527</v>
      </c>
      <c r="C40" s="3">
        <f t="shared" si="1"/>
        <v>6.9445508415356221</v>
      </c>
      <c r="D40" s="4">
        <v>4.9560500000000003</v>
      </c>
      <c r="E40" s="7">
        <v>6.9447200000000002</v>
      </c>
      <c r="F40" s="55">
        <f>D40/B40 - 1</f>
        <v>3.1517366095346055E-4</v>
      </c>
      <c r="G40" s="55">
        <f>E40/C40 - 1</f>
        <v>2.435844567028056E-5</v>
      </c>
    </row>
    <row r="41" spans="1:7" x14ac:dyDescent="0.2">
      <c r="A41" s="16">
        <v>0.31</v>
      </c>
      <c r="B41" s="4">
        <f t="shared" si="0"/>
        <v>5.2264992354926747</v>
      </c>
      <c r="C41" s="3">
        <f t="shared" si="1"/>
        <v>7.0239930750049906</v>
      </c>
      <c r="D41" s="4">
        <v>5.2281899999999997</v>
      </c>
      <c r="E41" s="7">
        <v>7.0241199999999999</v>
      </c>
    </row>
    <row r="42" spans="1:7" x14ac:dyDescent="0.2">
      <c r="A42" s="16">
        <v>0.32</v>
      </c>
      <c r="B42" s="4">
        <f t="shared" si="0"/>
        <v>5.4997594361488522</v>
      </c>
      <c r="C42" s="3">
        <f t="shared" si="1"/>
        <v>7.0912444378325628</v>
      </c>
      <c r="D42" s="4">
        <v>5.5015999999999998</v>
      </c>
      <c r="E42" s="7">
        <v>7.09131</v>
      </c>
    </row>
    <row r="43" spans="1:7" x14ac:dyDescent="0.2">
      <c r="A43" s="16">
        <v>0.33</v>
      </c>
      <c r="B43" s="4">
        <f t="shared" ref="B43:B74" si="2">$B$2*(1 - $B$5/($B$6*A43)*SIN(($B$6*A43)/$B$5))</f>
        <v>5.7736806123203372</v>
      </c>
      <c r="C43" s="3">
        <f t="shared" ref="C43:C74" si="3">$B$2*(1 - COS(($B$6*A43)/$B$5))*$B$5/($B$6*A43)</f>
        <v>7.1463158084201606</v>
      </c>
      <c r="D43" s="4">
        <v>5.7756600000000002</v>
      </c>
      <c r="E43" s="7">
        <v>7.1463200000000002</v>
      </c>
    </row>
    <row r="44" spans="1:7" x14ac:dyDescent="0.2">
      <c r="A44" s="16">
        <v>0.34</v>
      </c>
      <c r="B44" s="4">
        <f t="shared" si="2"/>
        <v>6.0476775607596682</v>
      </c>
      <c r="C44" s="3">
        <f t="shared" si="3"/>
        <v>7.1892478280555938</v>
      </c>
      <c r="D44" s="4">
        <v>6.0498099999999999</v>
      </c>
      <c r="E44" s="7">
        <v>7.1891800000000003</v>
      </c>
    </row>
    <row r="45" spans="1:7" x14ac:dyDescent="0.2">
      <c r="A45" s="16">
        <v>0.35</v>
      </c>
      <c r="B45" s="4">
        <f t="shared" si="2"/>
        <v>6.3211698942822583</v>
      </c>
      <c r="C45" s="3">
        <f t="shared" si="3"/>
        <v>7.2201106134502631</v>
      </c>
      <c r="D45" s="4">
        <v>6.3234599999999999</v>
      </c>
      <c r="E45" s="7">
        <v>7.2199499999999999</v>
      </c>
    </row>
    <row r="46" spans="1:7" x14ac:dyDescent="0.2">
      <c r="A46" s="16">
        <v>0.36</v>
      </c>
      <c r="B46" s="4">
        <f t="shared" si="2"/>
        <v>6.5935835748463205</v>
      </c>
      <c r="C46" s="3">
        <f t="shared" si="3"/>
        <v>7.239003386271027</v>
      </c>
      <c r="D46" s="4">
        <v>6.5960299999999998</v>
      </c>
      <c r="E46" s="7">
        <v>7.23874</v>
      </c>
    </row>
    <row r="47" spans="1:7" x14ac:dyDescent="0.2">
      <c r="A47" s="16">
        <v>0.37</v>
      </c>
      <c r="B47" s="4">
        <f t="shared" si="2"/>
        <v>6.8643524212694107</v>
      </c>
      <c r="C47" s="3">
        <f t="shared" si="3"/>
        <v>7.2460540210729043</v>
      </c>
      <c r="D47" s="4">
        <v>6.8669500000000001</v>
      </c>
      <c r="E47" s="7">
        <v>7.2456800000000001</v>
      </c>
    </row>
    <row r="48" spans="1:7" x14ac:dyDescent="0.2">
      <c r="A48" s="16">
        <v>0.38</v>
      </c>
      <c r="B48" s="4">
        <f t="shared" si="2"/>
        <v>7.1329195871631024</v>
      </c>
      <c r="C48" s="3">
        <f t="shared" si="3"/>
        <v>7.2414185132875559</v>
      </c>
      <c r="D48" s="4">
        <v>7.1356799999999998</v>
      </c>
      <c r="E48" s="7">
        <v>7.2409100000000004</v>
      </c>
    </row>
    <row r="49" spans="1:7" x14ac:dyDescent="0.2">
      <c r="A49" s="16">
        <v>0.39</v>
      </c>
      <c r="B49" s="4">
        <f t="shared" si="2"/>
        <v>7.3987390047727786</v>
      </c>
      <c r="C49" s="3">
        <f t="shared" si="3"/>
        <v>7.225280369164814</v>
      </c>
      <c r="D49" s="4">
        <v>7.4016599999999997</v>
      </c>
      <c r="E49" s="7">
        <v>7.2246300000000003</v>
      </c>
    </row>
    <row r="50" spans="1:7" x14ac:dyDescent="0.2">
      <c r="A50" s="16">
        <v>0.4</v>
      </c>
      <c r="B50" s="4">
        <f t="shared" si="2"/>
        <v>7.6612767905284018</v>
      </c>
      <c r="C50" s="3">
        <f t="shared" si="3"/>
        <v>7.1978499198004071</v>
      </c>
      <c r="D50" s="4">
        <v>7.6643499999999998</v>
      </c>
      <c r="E50" s="7">
        <v>7.1970499999999999</v>
      </c>
      <c r="F50" s="55">
        <f>D50/B50 - 1</f>
        <v>4.0113541849806644E-4</v>
      </c>
      <c r="G50" s="55">
        <f>E50/C50 - 1</f>
        <v>-1.1113315911281951E-4</v>
      </c>
    </row>
    <row r="51" spans="1:7" x14ac:dyDescent="0.2">
      <c r="A51" s="16">
        <v>0.41</v>
      </c>
      <c r="B51" s="4">
        <f t="shared" si="2"/>
        <v>7.9200126082440274</v>
      </c>
      <c r="C51" s="3">
        <f t="shared" si="3"/>
        <v>7.1593635616113804</v>
      </c>
      <c r="D51" s="4">
        <v>7.9232399999999998</v>
      </c>
      <c r="E51" s="7">
        <v>7.1583899999999998</v>
      </c>
    </row>
    <row r="52" spans="1:7" x14ac:dyDescent="0.2">
      <c r="A52" s="16">
        <v>0.42</v>
      </c>
      <c r="B52" s="4">
        <f t="shared" si="2"/>
        <v>8.1744409860483334</v>
      </c>
      <c r="C52" s="3">
        <f t="shared" si="3"/>
        <v>7.1100829258410521</v>
      </c>
      <c r="D52" s="4">
        <v>8.1778200000000005</v>
      </c>
      <c r="E52" s="7">
        <v>7.1089200000000003</v>
      </c>
    </row>
    <row r="53" spans="1:7" x14ac:dyDescent="0.2">
      <c r="A53" s="16">
        <v>0.43</v>
      </c>
      <c r="B53" s="4">
        <f t="shared" si="2"/>
        <v>8.4240725832849606</v>
      </c>
      <c r="C53" s="3">
        <f t="shared" si="3"/>
        <v>7.0502939798867921</v>
      </c>
      <c r="D53" s="4">
        <v>8.4275900000000004</v>
      </c>
      <c r="E53" s="7">
        <v>7.0489300000000004</v>
      </c>
    </row>
    <row r="54" spans="1:7" x14ac:dyDescent="0.2">
      <c r="A54" s="16">
        <v>0.44</v>
      </c>
      <c r="B54" s="4">
        <f t="shared" si="2"/>
        <v>8.6684354037895588</v>
      </c>
      <c r="C54" s="3">
        <f t="shared" si="3"/>
        <v>6.9803060634459637</v>
      </c>
      <c r="D54" s="4">
        <v>8.6721000000000004</v>
      </c>
      <c r="E54" s="7">
        <v>6.97872</v>
      </c>
    </row>
    <row r="55" spans="1:7" x14ac:dyDescent="0.2">
      <c r="A55" s="16">
        <v>0.45</v>
      </c>
      <c r="B55" s="4">
        <f t="shared" si="2"/>
        <v>8.9070759521294818</v>
      </c>
      <c r="C55" s="3">
        <f t="shared" si="3"/>
        <v>6.9004508626672614</v>
      </c>
      <c r="D55" s="4">
        <v>8.9108699999999992</v>
      </c>
      <c r="E55" s="7">
        <v>6.8986299999999998</v>
      </c>
    </row>
    <row r="56" spans="1:7" x14ac:dyDescent="0.2">
      <c r="A56" s="16">
        <v>0.46</v>
      </c>
      <c r="B56" s="4">
        <f t="shared" si="2"/>
        <v>9.1395603295814709</v>
      </c>
      <c r="C56" s="3">
        <f t="shared" si="3"/>
        <v>6.811081325675886</v>
      </c>
      <c r="D56" s="4">
        <v>9.1434700000000007</v>
      </c>
      <c r="E56" s="7">
        <v>6.8090099999999998</v>
      </c>
    </row>
    <row r="57" spans="1:7" x14ac:dyDescent="0.2">
      <c r="A57" s="16">
        <v>0.47</v>
      </c>
      <c r="B57" s="4">
        <f t="shared" si="2"/>
        <v>9.3654752668217967</v>
      </c>
      <c r="C57" s="3">
        <f t="shared" si="3"/>
        <v>6.7125705230109389</v>
      </c>
      <c r="D57" s="4">
        <v>9.3695000000000004</v>
      </c>
      <c r="E57" s="7">
        <v>6.7102300000000001</v>
      </c>
    </row>
    <row r="58" spans="1:7" x14ac:dyDescent="0.2">
      <c r="A58" s="16">
        <v>0.48</v>
      </c>
      <c r="B58" s="4">
        <f t="shared" si="2"/>
        <v>9.5844290905114562</v>
      </c>
      <c r="C58" s="3">
        <f t="shared" si="3"/>
        <v>6.6053104566715373</v>
      </c>
      <c r="D58" s="4">
        <v>9.5885499999999997</v>
      </c>
      <c r="E58" s="7">
        <v>6.6026899999999999</v>
      </c>
    </row>
    <row r="59" spans="1:7" x14ac:dyDescent="0.2">
      <c r="A59" s="16">
        <v>0.49</v>
      </c>
      <c r="B59" s="4">
        <f t="shared" si="2"/>
        <v>9.7960526211755408</v>
      </c>
      <c r="C59" s="3">
        <f t="shared" si="3"/>
        <v>6.489710821614028</v>
      </c>
      <c r="D59" s="4">
        <v>9.8002599999999997</v>
      </c>
      <c r="E59" s="7">
        <v>6.4867900000000001</v>
      </c>
    </row>
    <row r="60" spans="1:7" x14ac:dyDescent="0.2">
      <c r="A60" s="16">
        <v>0.5</v>
      </c>
      <c r="B60" s="4">
        <f t="shared" si="2"/>
        <v>10</v>
      </c>
      <c r="C60" s="3">
        <f t="shared" si="3"/>
        <v>6.366197723675814</v>
      </c>
      <c r="D60" s="4">
        <v>10.004300000000001</v>
      </c>
      <c r="E60" s="7">
        <v>6.3629699999999998</v>
      </c>
      <c r="F60" s="55">
        <f>D60/B60 - 1</f>
        <v>4.3000000000015248E-4</v>
      </c>
      <c r="G60" s="55">
        <f>E60/C60 - 1</f>
        <v>-5.0700964938776849E-4</v>
      </c>
    </row>
    <row r="61" spans="1:7" x14ac:dyDescent="0.2">
      <c r="A61" s="16">
        <v>0.51</v>
      </c>
      <c r="B61" s="4">
        <f t="shared" si="2"/>
        <v>10.19594944239997</v>
      </c>
      <c r="C61" s="3">
        <f t="shared" si="3"/>
        <v>6.2352123580213208</v>
      </c>
      <c r="D61" s="4">
        <v>10.2003</v>
      </c>
      <c r="E61" s="7">
        <v>6.2316500000000001</v>
      </c>
    </row>
    <row r="62" spans="1:7" x14ac:dyDescent="0.2">
      <c r="A62" s="16">
        <v>0.52</v>
      </c>
      <c r="B62" s="4">
        <f t="shared" si="2"/>
        <v>10.383603916450962</v>
      </c>
      <c r="C62" s="3">
        <f t="shared" si="3"/>
        <v>6.0972096523121886</v>
      </c>
      <c r="D62" s="4">
        <v>10.388</v>
      </c>
      <c r="E62" s="7">
        <v>6.0933099999999998</v>
      </c>
    </row>
    <row r="63" spans="1:7" x14ac:dyDescent="0.2">
      <c r="A63" s="16">
        <v>0.53</v>
      </c>
      <c r="B63" s="4">
        <f t="shared" si="2"/>
        <v>10.562691744516519</v>
      </c>
      <c r="C63" s="3">
        <f t="shared" si="3"/>
        <v>5.9526568788964918</v>
      </c>
      <c r="D63" s="4">
        <v>10.5671</v>
      </c>
      <c r="E63" s="7">
        <v>5.94841</v>
      </c>
    </row>
    <row r="64" spans="1:7" x14ac:dyDescent="0.2">
      <c r="A64" s="16">
        <v>0.54</v>
      </c>
      <c r="B64" s="4">
        <f t="shared" si="2"/>
        <v>10.732967126652822</v>
      </c>
      <c r="C64" s="3">
        <f t="shared" si="3"/>
        <v>5.8020322403905693</v>
      </c>
      <c r="D64" s="4">
        <v>10.737399999999999</v>
      </c>
      <c r="E64" s="7">
        <v>5.7974199999999998</v>
      </c>
    </row>
    <row r="65" spans="1:7" x14ac:dyDescent="0.2">
      <c r="A65" s="16">
        <v>0.55000000000000004</v>
      </c>
      <c r="B65" s="4">
        <f t="shared" si="2"/>
        <v>10.894210584621334</v>
      </c>
      <c r="C65" s="3">
        <f t="shared" si="3"/>
        <v>5.6458234330913948</v>
      </c>
      <c r="D65" s="4">
        <v>10.8986</v>
      </c>
      <c r="E65" s="7">
        <v>5.6408399999999999</v>
      </c>
    </row>
    <row r="66" spans="1:7" x14ac:dyDescent="0.2">
      <c r="A66" s="16">
        <v>0.56000000000000005</v>
      </c>
      <c r="B66" s="4">
        <f t="shared" si="2"/>
        <v>11.046229325593917</v>
      </c>
      <c r="C66" s="3">
        <f t="shared" si="3"/>
        <v>5.484526192707543</v>
      </c>
      <c r="D66" s="4">
        <v>11.0505</v>
      </c>
      <c r="E66" s="7">
        <v>5.4791600000000003</v>
      </c>
    </row>
    <row r="67" spans="1:7" x14ac:dyDescent="0.2">
      <c r="A67" s="16">
        <v>0.56999999999999995</v>
      </c>
      <c r="B67" s="4">
        <f t="shared" si="2"/>
        <v>11.188857524890292</v>
      </c>
      <c r="C67" s="3">
        <f t="shared" si="3"/>
        <v>5.3186428269321429</v>
      </c>
      <c r="D67" s="4">
        <v>11.193099999999999</v>
      </c>
      <c r="E67" s="7">
        <v>5.3128799999999998</v>
      </c>
    </row>
    <row r="68" spans="1:7" x14ac:dyDescent="0.2">
      <c r="A68" s="16">
        <v>0.57999999999999996</v>
      </c>
      <c r="B68" s="4">
        <f t="shared" si="2"/>
        <v>11.321956527344311</v>
      </c>
      <c r="C68" s="3">
        <f t="shared" si="3"/>
        <v>5.148680739402141</v>
      </c>
      <c r="D68" s="4">
        <v>11.3261</v>
      </c>
      <c r="E68" s="7">
        <v>5.1425200000000002</v>
      </c>
    </row>
    <row r="69" spans="1:7" x14ac:dyDescent="0.2">
      <c r="A69" s="16">
        <v>0.59</v>
      </c>
      <c r="B69" s="4">
        <f t="shared" si="2"/>
        <v>11.445414967152454</v>
      </c>
      <c r="C69" s="3">
        <f t="shared" si="3"/>
        <v>4.9751509495943491</v>
      </c>
      <c r="D69" s="4">
        <v>11.449400000000001</v>
      </c>
      <c r="E69" s="7">
        <v>4.9685899999999998</v>
      </c>
    </row>
    <row r="70" spans="1:7" x14ac:dyDescent="0.2">
      <c r="A70" s="16">
        <v>0.6</v>
      </c>
      <c r="B70" s="4">
        <f t="shared" si="2"/>
        <v>11.559148806314399</v>
      </c>
      <c r="C70" s="3">
        <f t="shared" si="3"/>
        <v>4.7985666132002711</v>
      </c>
      <c r="D70" s="4">
        <v>11.563000000000001</v>
      </c>
      <c r="E70" s="7">
        <v>4.7916100000000004</v>
      </c>
      <c r="F70" s="55">
        <f>D70/B70 - 1</f>
        <v>3.3317277510080956E-4</v>
      </c>
      <c r="G70" s="55">
        <f>E70/C70 - 1</f>
        <v>-1.4497273375624342E-3</v>
      </c>
    </row>
    <row r="71" spans="1:7" x14ac:dyDescent="0.2">
      <c r="A71" s="16">
        <v>0.61</v>
      </c>
      <c r="B71" s="4">
        <f t="shared" si="2"/>
        <v>11.663101292030518</v>
      </c>
      <c r="C71" s="3">
        <f t="shared" si="3"/>
        <v>4.619441547498818</v>
      </c>
      <c r="D71" s="4">
        <v>11.6668</v>
      </c>
      <c r="E71" s="7">
        <v>4.6120799999999997</v>
      </c>
    </row>
    <row r="72" spans="1:7" x14ac:dyDescent="0.2">
      <c r="A72" s="16">
        <v>0.62</v>
      </c>
      <c r="B72" s="4">
        <f t="shared" si="2"/>
        <v>11.757242833674226</v>
      </c>
      <c r="C72" s="3">
        <f t="shared" si="3"/>
        <v>4.4382887662085029</v>
      </c>
      <c r="D72" s="4">
        <v>11.7607</v>
      </c>
      <c r="E72" s="7">
        <v>4.4305199999999996</v>
      </c>
    </row>
    <row r="73" spans="1:7" x14ac:dyDescent="0.2">
      <c r="A73" s="16">
        <v>0.63</v>
      </c>
      <c r="B73" s="4">
        <f t="shared" si="2"/>
        <v>11.841570800206853</v>
      </c>
      <c r="C73" s="3">
        <f t="shared" si="3"/>
        <v>4.2556190282491659</v>
      </c>
      <c r="D73" s="4">
        <v>11.844799999999999</v>
      </c>
      <c r="E73" s="7">
        <v>4.2474600000000002</v>
      </c>
    </row>
    <row r="74" spans="1:7" x14ac:dyDescent="0.2">
      <c r="A74" s="16">
        <v>0.64</v>
      </c>
      <c r="B74" s="4">
        <f t="shared" si="2"/>
        <v>11.916109239148945</v>
      </c>
      <c r="C74" s="3">
        <f t="shared" si="3"/>
        <v>4.0719394047774511</v>
      </c>
      <c r="D74" s="4">
        <v>11.919</v>
      </c>
      <c r="E74" s="7">
        <v>4.0633800000000004</v>
      </c>
    </row>
    <row r="75" spans="1:7" x14ac:dyDescent="0.2">
      <c r="A75" s="16">
        <v>0.65</v>
      </c>
      <c r="B75" s="4">
        <f t="shared" ref="B75:B106" si="4">$B$2*(1 - $B$5/($B$6*A75)*SIN(($B$6*A75)/$B$5))</f>
        <v>11.9809085184634</v>
      </c>
      <c r="C75" s="3">
        <f t="shared" ref="C75:C108" si="5">$B$2*(1 - COS(($B$6*A75)/$B$5))*$B$5/($B$6*A75)</f>
        <v>3.8877518687809123</v>
      </c>
      <c r="D75" s="4">
        <v>11.983499999999999</v>
      </c>
      <c r="E75" s="7">
        <v>3.8788100000000001</v>
      </c>
    </row>
    <row r="76" spans="1:7" x14ac:dyDescent="0.2">
      <c r="A76" s="16">
        <v>0.66</v>
      </c>
      <c r="B76" s="4">
        <f t="shared" si="4"/>
        <v>12.036044892941987</v>
      </c>
      <c r="C76" s="3">
        <f t="shared" si="5"/>
        <v>3.7035519114225797</v>
      </c>
      <c r="D76" s="4">
        <v>12.0383</v>
      </c>
      <c r="E76" s="7">
        <v>3.6942400000000002</v>
      </c>
    </row>
    <row r="77" spans="1:7" x14ac:dyDescent="0.2">
      <c r="A77" s="16">
        <v>0.67</v>
      </c>
      <c r="B77" s="4">
        <f t="shared" si="4"/>
        <v>12.081619996916848</v>
      </c>
      <c r="C77" s="3">
        <f t="shared" si="5"/>
        <v>3.5198271892218704</v>
      </c>
      <c r="D77" s="4">
        <v>12.083500000000001</v>
      </c>
      <c r="E77" s="7">
        <v>3.5101499999999999</v>
      </c>
    </row>
    <row r="78" spans="1:7" x14ac:dyDescent="0.2">
      <c r="A78" s="16">
        <v>0.68</v>
      </c>
      <c r="B78" s="4">
        <f t="shared" si="4"/>
        <v>12.117760265341717</v>
      </c>
      <c r="C78" s="3">
        <f t="shared" si="5"/>
        <v>3.3370562060388531</v>
      </c>
      <c r="D78" s="4">
        <v>12.119199999999999</v>
      </c>
      <c r="E78" s="7">
        <v>3.3270400000000002</v>
      </c>
    </row>
    <row r="79" spans="1:7" x14ac:dyDescent="0.2">
      <c r="A79" s="16">
        <v>0.69</v>
      </c>
      <c r="B79" s="4">
        <f t="shared" si="4"/>
        <v>12.144616285503291</v>
      </c>
      <c r="C79" s="3">
        <f t="shared" si="5"/>
        <v>3.1557070336978956</v>
      </c>
      <c r="D79" s="4">
        <v>12.1457</v>
      </c>
      <c r="E79" s="7">
        <v>3.1453600000000002</v>
      </c>
    </row>
    <row r="80" spans="1:7" x14ac:dyDescent="0.2">
      <c r="A80" s="16">
        <v>0.7</v>
      </c>
      <c r="B80" s="4">
        <f t="shared" si="4"/>
        <v>12.162362081830448</v>
      </c>
      <c r="C80" s="3">
        <f t="shared" si="5"/>
        <v>2.9762360749438379</v>
      </c>
      <c r="D80" s="4">
        <v>12.1629</v>
      </c>
      <c r="E80" s="7">
        <v>2.9655800000000001</v>
      </c>
      <c r="F80" s="55">
        <f>D80/B80 - 1</f>
        <v>4.4228100259946501E-5</v>
      </c>
      <c r="G80" s="55">
        <f>E80/C80 - 1</f>
        <v>-3.5803863253820456E-3</v>
      </c>
    </row>
    <row r="81" spans="1:7" x14ac:dyDescent="0.2">
      <c r="A81" s="16">
        <v>0.71</v>
      </c>
      <c r="B81" s="4">
        <f t="shared" si="4"/>
        <v>12.171194336467542</v>
      </c>
      <c r="C81" s="3">
        <f t="shared" si="5"/>
        <v>2.7990868722696867</v>
      </c>
      <c r="D81" s="4">
        <v>12.1713</v>
      </c>
      <c r="E81" s="7">
        <v>2.7881499999999999</v>
      </c>
    </row>
    <row r="82" spans="1:7" x14ac:dyDescent="0.2">
      <c r="A82" s="16">
        <v>0.72</v>
      </c>
      <c r="B82" s="4">
        <f t="shared" si="4"/>
        <v>12.171331548466927</v>
      </c>
      <c r="C82" s="3">
        <f t="shared" si="5"/>
        <v>2.6246889659898733</v>
      </c>
      <c r="D82" s="4">
        <v>12.1709</v>
      </c>
      <c r="E82" s="7">
        <v>2.6135000000000002</v>
      </c>
    </row>
    <row r="83" spans="1:7" x14ac:dyDescent="0.2">
      <c r="A83" s="16">
        <v>0.73</v>
      </c>
      <c r="B83" s="4">
        <f t="shared" si="4"/>
        <v>12.163013134634772</v>
      </c>
      <c r="C83" s="3">
        <f t="shared" si="5"/>
        <v>2.453456804758158</v>
      </c>
      <c r="D83" s="4">
        <v>12.162000000000001</v>
      </c>
      <c r="E83" s="7">
        <v>2.44204</v>
      </c>
    </row>
    <row r="84" spans="1:7" x14ac:dyDescent="0.2">
      <c r="A84" s="16">
        <v>0.74</v>
      </c>
      <c r="B84" s="4">
        <f t="shared" si="4"/>
        <v>12.146498475232326</v>
      </c>
      <c r="C84" s="3">
        <f t="shared" si="5"/>
        <v>2.2857887115445101</v>
      </c>
      <c r="D84" s="4">
        <v>12.1449</v>
      </c>
      <c r="E84" s="7">
        <v>2.2741799999999999</v>
      </c>
    </row>
    <row r="85" spans="1:7" x14ac:dyDescent="0.2">
      <c r="A85" s="16">
        <v>0.75</v>
      </c>
      <c r="B85" s="4">
        <f t="shared" si="4"/>
        <v>12.122065907891937</v>
      </c>
      <c r="C85" s="3">
        <f t="shared" si="5"/>
        <v>2.1220659078919382</v>
      </c>
      <c r="D85" s="4">
        <v>12.119899999999999</v>
      </c>
      <c r="E85" s="7">
        <v>2.1103000000000001</v>
      </c>
    </row>
    <row r="86" spans="1:7" x14ac:dyDescent="0.2">
      <c r="A86" s="16">
        <v>0.76</v>
      </c>
      <c r="B86" s="4">
        <f t="shared" si="4"/>
        <v>12.090011673252528</v>
      </c>
      <c r="C86" s="3">
        <f t="shared" si="5"/>
        <v>1.9626515990723294</v>
      </c>
      <c r="D86" s="4">
        <v>12.087199999999999</v>
      </c>
      <c r="E86" s="7">
        <v>1.95076</v>
      </c>
    </row>
    <row r="87" spans="1:7" x14ac:dyDescent="0.2">
      <c r="A87" s="16">
        <v>0.77</v>
      </c>
      <c r="B87" s="4">
        <f t="shared" si="4"/>
        <v>12.050648815952448</v>
      </c>
      <c r="C87" s="3">
        <f t="shared" si="5"/>
        <v>1.8078901225512372</v>
      </c>
      <c r="D87" s="4">
        <v>12.0471</v>
      </c>
      <c r="E87" s="7">
        <v>1.79592</v>
      </c>
    </row>
    <row r="88" spans="1:7" x14ac:dyDescent="0.2">
      <c r="A88" s="16">
        <v>0.78</v>
      </c>
      <c r="B88" s="4">
        <f t="shared" si="4"/>
        <v>12.004306044738701</v>
      </c>
      <c r="C88" s="3">
        <f t="shared" si="5"/>
        <v>1.6581061619553827</v>
      </c>
      <c r="D88" s="4">
        <v>12.0001</v>
      </c>
      <c r="E88" s="7">
        <v>1.6460999999999999</v>
      </c>
    </row>
    <row r="89" spans="1:7" x14ac:dyDescent="0.2">
      <c r="A89" s="16">
        <v>0.79</v>
      </c>
      <c r="B89" s="4">
        <f t="shared" si="4"/>
        <v>11.951326555559433</v>
      </c>
      <c r="C89" s="3">
        <f t="shared" si="5"/>
        <v>1.5136040285144678</v>
      </c>
      <c r="D89" s="4">
        <v>11.946400000000001</v>
      </c>
      <c r="E89" s="7">
        <v>1.5016</v>
      </c>
    </row>
    <row r="90" spans="1:7" x14ac:dyDescent="0.2">
      <c r="A90" s="16">
        <v>0.8</v>
      </c>
      <c r="B90" s="4">
        <f t="shared" si="4"/>
        <v>11.892066821601643</v>
      </c>
      <c r="C90" s="3">
        <f t="shared" si="5"/>
        <v>1.3746670117215258</v>
      </c>
      <c r="D90" s="4">
        <v>11.8865</v>
      </c>
      <c r="E90" s="7">
        <v>1.3627199999999999</v>
      </c>
      <c r="F90" s="55">
        <f>D90/B90 - 1</f>
        <v>-4.6811220329934233E-4</v>
      </c>
      <c r="G90" s="55">
        <f>E90/C90 - 1</f>
        <v>-8.6908404869368017E-3</v>
      </c>
    </row>
    <row r="91" spans="1:7" x14ac:dyDescent="0.2">
      <c r="A91" s="16">
        <v>0.81</v>
      </c>
      <c r="B91" s="4">
        <f t="shared" si="4"/>
        <v>11.826895354317617</v>
      </c>
      <c r="C91" s="3">
        <f t="shared" si="5"/>
        <v>1.2415568007239004</v>
      </c>
      <c r="D91" s="4">
        <v>11.820600000000001</v>
      </c>
      <c r="E91" s="7">
        <v>1.2297100000000001</v>
      </c>
    </row>
    <row r="92" spans="1:7" x14ac:dyDescent="0.2">
      <c r="A92" s="16">
        <v>0.82</v>
      </c>
      <c r="B92" s="4">
        <f t="shared" si="4"/>
        <v>11.756191439551667</v>
      </c>
      <c r="C92" s="3">
        <f t="shared" si="5"/>
        <v>1.1145129777213254</v>
      </c>
      <c r="D92" s="4">
        <v>11.7491</v>
      </c>
      <c r="E92" s="7">
        <v>1.1028199999999999</v>
      </c>
    </row>
    <row r="93" spans="1:7" x14ac:dyDescent="0.2">
      <c r="A93" s="16">
        <v>0.83</v>
      </c>
      <c r="B93" s="4">
        <f t="shared" si="4"/>
        <v>11.680343852932877</v>
      </c>
      <c r="C93" s="3">
        <f t="shared" si="5"/>
        <v>0.9937525844087397</v>
      </c>
      <c r="D93" s="4">
        <v>11.672599999999999</v>
      </c>
      <c r="E93" s="7">
        <v>0.98226500000000005</v>
      </c>
    </row>
    <row r="94" spans="1:7" x14ac:dyDescent="0.2">
      <c r="A94" s="16">
        <v>0.84</v>
      </c>
      <c r="B94" s="4">
        <f t="shared" si="4"/>
        <v>11.599749558740132</v>
      </c>
      <c r="C94" s="3">
        <f t="shared" si="5"/>
        <v>0.87946976226071949</v>
      </c>
      <c r="D94" s="4">
        <v>11.591200000000001</v>
      </c>
      <c r="E94" s="7">
        <v>0.86824299999999999</v>
      </c>
    </row>
    <row r="95" spans="1:7" x14ac:dyDescent="0.2">
      <c r="A95" s="16">
        <v>0.85</v>
      </c>
      <c r="B95" s="4">
        <f t="shared" si="4"/>
        <v>11.514812396472012</v>
      </c>
      <c r="C95" s="3">
        <f t="shared" si="5"/>
        <v>0.77183546721213492</v>
      </c>
      <c r="D95" s="4">
        <v>11.505599999999999</v>
      </c>
      <c r="E95" s="7">
        <v>0.76092599999999999</v>
      </c>
    </row>
    <row r="96" spans="1:7" x14ac:dyDescent="0.2">
      <c r="A96" s="16">
        <v>0.86</v>
      </c>
      <c r="B96" s="4">
        <f t="shared" si="4"/>
        <v>11.425941759366658</v>
      </c>
      <c r="C96" s="3">
        <f t="shared" si="5"/>
        <v>0.67099725904690477</v>
      </c>
      <c r="D96" s="4">
        <v>11.416</v>
      </c>
      <c r="E96" s="7">
        <v>0.66046199999999999</v>
      </c>
    </row>
    <row r="97" spans="1:7" x14ac:dyDescent="0.2">
      <c r="A97" s="16">
        <v>0.87</v>
      </c>
      <c r="B97" s="4">
        <f t="shared" si="4"/>
        <v>11.33355126911531</v>
      </c>
      <c r="C97" s="3">
        <f t="shared" si="5"/>
        <v>0.57707916556429151</v>
      </c>
      <c r="D97" s="4">
        <v>11.322800000000001</v>
      </c>
      <c r="E97" s="7">
        <v>0.56697500000000001</v>
      </c>
    </row>
    <row r="98" spans="1:7" x14ac:dyDescent="0.2">
      <c r="A98" s="16">
        <v>0.88</v>
      </c>
      <c r="B98" s="4">
        <f t="shared" si="4"/>
        <v>11.238057450997751</v>
      </c>
      <c r="C98" s="3">
        <f t="shared" si="5"/>
        <v>0.49018162135072246</v>
      </c>
      <c r="D98" s="4">
        <v>11.226599999999999</v>
      </c>
      <c r="E98" s="7">
        <v>0.480568</v>
      </c>
    </row>
    <row r="99" spans="1:7" x14ac:dyDescent="0.2">
      <c r="A99" s="16">
        <v>0.89</v>
      </c>
      <c r="B99" s="4">
        <f t="shared" si="4"/>
        <v>11.139878413638895</v>
      </c>
      <c r="C99" s="3">
        <f t="shared" si="5"/>
        <v>0.4103814807456499</v>
      </c>
      <c r="D99" s="4">
        <v>11.127800000000001</v>
      </c>
      <c r="E99" s="7">
        <v>0.40131800000000001</v>
      </c>
    </row>
    <row r="100" spans="1:7" x14ac:dyDescent="0.2">
      <c r="A100" s="16">
        <v>0.9</v>
      </c>
      <c r="B100" s="4">
        <f t="shared" si="4"/>
        <v>11.039432537542933</v>
      </c>
      <c r="C100" s="3">
        <f t="shared" si="5"/>
        <v>0.33773210435304868</v>
      </c>
      <c r="D100" s="4">
        <v>11.0267</v>
      </c>
      <c r="E100" s="7">
        <v>0.32927600000000001</v>
      </c>
      <c r="F100" s="55">
        <f>D100/B100 - 1</f>
        <v>-1.1533688438813972E-3</v>
      </c>
      <c r="G100" s="55">
        <f>E100/C100 - 1</f>
        <v>-2.5037905026076723E-2</v>
      </c>
    </row>
    <row r="101" spans="1:7" x14ac:dyDescent="0.2">
      <c r="A101" s="16">
        <v>0.91</v>
      </c>
      <c r="B101" s="4">
        <f t="shared" si="4"/>
        <v>10.937137176505438</v>
      </c>
      <c r="C101" s="3">
        <f t="shared" si="5"/>
        <v>0.27226351821674777</v>
      </c>
      <c r="D101" s="4">
        <v>10.9237</v>
      </c>
      <c r="E101" s="7">
        <v>0.26447500000000002</v>
      </c>
    </row>
    <row r="102" spans="1:7" x14ac:dyDescent="0.2">
      <c r="A102" s="16">
        <v>0.92</v>
      </c>
      <c r="B102" s="4">
        <f t="shared" si="4"/>
        <v>10.833407375934456</v>
      </c>
      <c r="C102" s="3">
        <f t="shared" si="5"/>
        <v>0.21398264454854884</v>
      </c>
      <c r="D102" s="4">
        <v>10.8194</v>
      </c>
      <c r="E102" s="7">
        <v>0.20691899999999999</v>
      </c>
    </row>
    <row r="103" spans="1:7" x14ac:dyDescent="0.2">
      <c r="A103" s="16">
        <v>0.93</v>
      </c>
      <c r="B103" s="4">
        <f t="shared" si="4"/>
        <v>10.728654612029533</v>
      </c>
      <c r="C103" s="3">
        <f t="shared" si="5"/>
        <v>0.16287360267374815</v>
      </c>
      <c r="D103" s="4">
        <v>10.7141</v>
      </c>
      <c r="E103" s="7">
        <v>0.15659100000000001</v>
      </c>
    </row>
    <row r="104" spans="1:7" x14ac:dyDescent="0.2">
      <c r="A104" s="16">
        <v>0.94</v>
      </c>
      <c r="B104" s="4">
        <f t="shared" si="4"/>
        <v>10.623285555672972</v>
      </c>
      <c r="C104" s="3">
        <f t="shared" si="5"/>
        <v>0.11889807864008776</v>
      </c>
      <c r="D104" s="4">
        <v>10.6082</v>
      </c>
      <c r="E104" s="7">
        <v>0.113453</v>
      </c>
    </row>
    <row r="105" spans="1:7" x14ac:dyDescent="0.2">
      <c r="A105" s="16">
        <v>0.95</v>
      </c>
      <c r="B105" s="4">
        <f t="shared" si="4"/>
        <v>10.517700864780773</v>
      </c>
      <c r="C105" s="3">
        <f t="shared" si="5"/>
        <v>8.1995761723831009E-2</v>
      </c>
      <c r="D105" s="4">
        <v>10.5021</v>
      </c>
      <c r="E105" s="7">
        <v>7.7442499999999997E-2</v>
      </c>
    </row>
    <row r="106" spans="1:7" x14ac:dyDescent="0.2">
      <c r="A106" s="16">
        <v>0.96</v>
      </c>
      <c r="B106" s="4">
        <f t="shared" si="4"/>
        <v>10.412294008742213</v>
      </c>
      <c r="C106" s="3">
        <f t="shared" si="5"/>
        <v>5.2084845861458166E-2</v>
      </c>
      <c r="D106" s="4">
        <v>10.3963</v>
      </c>
      <c r="E106" s="7">
        <v>4.8474900000000001E-2</v>
      </c>
    </row>
    <row r="107" spans="1:7" x14ac:dyDescent="0.2">
      <c r="A107" s="16">
        <v>0.97</v>
      </c>
      <c r="B107" s="4">
        <f t="shared" ref="B107:B108" si="6">$B$2*(1 - $B$5/($B$6*A107)*SIN(($B$6*A107)/$B$5))</f>
        <v>10.307450128447172</v>
      </c>
      <c r="C107" s="3">
        <f t="shared" si="5"/>
        <v>2.9062593837903019E-2</v>
      </c>
      <c r="D107" s="4">
        <v>10.2911</v>
      </c>
      <c r="E107" s="7">
        <v>2.64455E-2</v>
      </c>
    </row>
    <row r="108" spans="1:7" x14ac:dyDescent="0.2">
      <c r="A108" s="16">
        <v>0.98</v>
      </c>
      <c r="B108" s="4">
        <f t="shared" si="6"/>
        <v>10.203544935259696</v>
      </c>
      <c r="C108" s="3">
        <f t="shared" si="5"/>
        <v>1.2805961873029474E-2</v>
      </c>
      <c r="D108" s="4">
        <v>10.1869</v>
      </c>
      <c r="E108" s="7">
        <v>1.1228399999999999E-2</v>
      </c>
    </row>
    <row r="109" spans="1:7" x14ac:dyDescent="0.2">
      <c r="A109" s="16">
        <v>0.99</v>
      </c>
      <c r="B109" s="4">
        <f t="shared" ref="B109" si="7">$B$2*(1 - $B$5/($B$6*A109)*SIN(($B$6*A109)/$B$5))</f>
        <v>10.100943652145439</v>
      </c>
      <c r="C109" s="3">
        <f t="shared" ref="C109" si="8">$B$2*(1 - COS(($B$6*A109)/$B$5))*$B$5/($B$6*A109)</f>
        <v>3.1722820677100496E-3</v>
      </c>
      <c r="D109" s="4">
        <v>10.084</v>
      </c>
      <c r="E109" s="7">
        <v>2.6777300000000001E-3</v>
      </c>
    </row>
    <row r="110" spans="1:7" ht="17" thickBot="1" x14ac:dyDescent="0.25">
      <c r="A110" s="17">
        <v>1</v>
      </c>
      <c r="B110" s="5">
        <f t="shared" ref="B110" si="9">$B$2*(1 - $B$5/($B$6*A110)*SIN(($B$6*A110)/$B$5))</f>
        <v>10</v>
      </c>
      <c r="C110" s="6">
        <f t="shared" ref="C110" si="10">$B$2*(1 - COS(($B$6*A110)/$B$5))*$B$5/($B$6*A110)</f>
        <v>0</v>
      </c>
      <c r="D110" s="5">
        <v>9.9829000000000008</v>
      </c>
      <c r="E110" s="8">
        <v>6.2830299999999998E-4</v>
      </c>
      <c r="F110" s="55">
        <f>D110/B110 - 1</f>
        <v>-1.7099999999998783E-3</v>
      </c>
    </row>
    <row r="111" spans="1:7" x14ac:dyDescent="0.2">
      <c r="D111" s="1"/>
      <c r="E111" s="1"/>
    </row>
    <row r="112" spans="1:7" x14ac:dyDescent="0.2">
      <c r="D112" s="1"/>
      <c r="E112" s="1"/>
    </row>
    <row r="113" spans="4:5" x14ac:dyDescent="0.2">
      <c r="D113" s="1"/>
      <c r="E113" s="1"/>
    </row>
    <row r="114" spans="4:5" x14ac:dyDescent="0.2">
      <c r="D114" s="1"/>
      <c r="E114" s="1"/>
    </row>
    <row r="115" spans="4:5" x14ac:dyDescent="0.2">
      <c r="D115" s="1"/>
      <c r="E115" s="1"/>
    </row>
    <row r="116" spans="4:5" x14ac:dyDescent="0.2">
      <c r="D116" s="1"/>
      <c r="E116" s="1"/>
    </row>
    <row r="117" spans="4:5" x14ac:dyDescent="0.2">
      <c r="D117" s="1"/>
      <c r="E117" s="1"/>
    </row>
    <row r="118" spans="4:5" x14ac:dyDescent="0.2">
      <c r="D118" s="1"/>
      <c r="E118" s="1"/>
    </row>
    <row r="119" spans="4:5" x14ac:dyDescent="0.2">
      <c r="D119" s="1"/>
      <c r="E119" s="1"/>
    </row>
    <row r="120" spans="4:5" x14ac:dyDescent="0.2">
      <c r="D120" s="1"/>
      <c r="E120" s="1"/>
    </row>
    <row r="121" spans="4:5" x14ac:dyDescent="0.2">
      <c r="D121" s="1"/>
      <c r="E121" s="1"/>
    </row>
    <row r="122" spans="4:5" x14ac:dyDescent="0.2">
      <c r="D122" s="1"/>
      <c r="E122" s="1"/>
    </row>
    <row r="123" spans="4:5" x14ac:dyDescent="0.2">
      <c r="D123" s="1"/>
      <c r="E123" s="1"/>
    </row>
    <row r="124" spans="4:5" x14ac:dyDescent="0.2">
      <c r="D124" s="1"/>
      <c r="E124" s="1"/>
    </row>
    <row r="125" spans="4:5" x14ac:dyDescent="0.2">
      <c r="D125" s="1"/>
      <c r="E125" s="1"/>
    </row>
    <row r="126" spans="4:5" x14ac:dyDescent="0.2">
      <c r="D126" s="1"/>
      <c r="E126" s="1"/>
    </row>
    <row r="127" spans="4:5" x14ac:dyDescent="0.2">
      <c r="D127" s="1"/>
      <c r="E127" s="1"/>
    </row>
    <row r="128" spans="4:5" x14ac:dyDescent="0.2">
      <c r="D128" s="1"/>
      <c r="E128" s="1"/>
    </row>
    <row r="129" spans="4:5" x14ac:dyDescent="0.2">
      <c r="D129" s="1"/>
      <c r="E129" s="1"/>
    </row>
    <row r="130" spans="4:5" x14ac:dyDescent="0.2">
      <c r="D130" s="1"/>
      <c r="E130" s="1"/>
    </row>
    <row r="131" spans="4:5" x14ac:dyDescent="0.2">
      <c r="D131" s="1"/>
      <c r="E131" s="1"/>
    </row>
    <row r="132" spans="4:5" x14ac:dyDescent="0.2">
      <c r="D132" s="1"/>
      <c r="E132" s="1"/>
    </row>
    <row r="133" spans="4:5" x14ac:dyDescent="0.2">
      <c r="D133" s="1"/>
      <c r="E133" s="1"/>
    </row>
    <row r="134" spans="4:5" x14ac:dyDescent="0.2">
      <c r="D134" s="1"/>
      <c r="E134" s="1"/>
    </row>
    <row r="135" spans="4:5" x14ac:dyDescent="0.2">
      <c r="D135" s="1"/>
      <c r="E135" s="1"/>
    </row>
    <row r="136" spans="4:5" x14ac:dyDescent="0.2">
      <c r="D136" s="1"/>
      <c r="E136" s="1"/>
    </row>
    <row r="137" spans="4:5" x14ac:dyDescent="0.2">
      <c r="D137" s="1"/>
      <c r="E137" s="1"/>
    </row>
    <row r="138" spans="4:5" x14ac:dyDescent="0.2">
      <c r="D138" s="1"/>
      <c r="E138" s="1"/>
    </row>
    <row r="139" spans="4:5" x14ac:dyDescent="0.2">
      <c r="D139" s="1"/>
      <c r="E139" s="1"/>
    </row>
    <row r="140" spans="4:5" x14ac:dyDescent="0.2">
      <c r="D140" s="1"/>
      <c r="E140" s="1"/>
    </row>
    <row r="141" spans="4:5" x14ac:dyDescent="0.2">
      <c r="D141" s="1"/>
      <c r="E14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FA2A-9E21-CC46-B389-CF36C01D870C}">
  <dimension ref="A1:H42"/>
  <sheetViews>
    <sheetView zoomScale="110" zoomScaleNormal="110" workbookViewId="0">
      <selection activeCell="D1" sqref="D1:F1"/>
    </sheetView>
  </sheetViews>
  <sheetFormatPr baseColWidth="10" defaultRowHeight="16" x14ac:dyDescent="0.2"/>
  <sheetData>
    <row r="1" spans="1:8" ht="17" thickBot="1" x14ac:dyDescent="0.25">
      <c r="A1" s="20" t="s">
        <v>14</v>
      </c>
      <c r="B1" s="21" t="s">
        <v>15</v>
      </c>
      <c r="C1" s="22" t="s">
        <v>16</v>
      </c>
      <c r="D1" s="62" t="s">
        <v>17</v>
      </c>
      <c r="E1" s="63" t="s">
        <v>18</v>
      </c>
      <c r="F1" s="64" t="s">
        <v>19</v>
      </c>
      <c r="G1" s="60" t="s">
        <v>31</v>
      </c>
      <c r="H1" s="60" t="s">
        <v>36</v>
      </c>
    </row>
    <row r="2" spans="1:8" x14ac:dyDescent="0.2">
      <c r="A2" s="31">
        <v>0</v>
      </c>
      <c r="B2" s="36">
        <v>0</v>
      </c>
      <c r="C2" s="43">
        <v>0</v>
      </c>
      <c r="D2" s="31">
        <v>0</v>
      </c>
      <c r="E2" s="18">
        <v>0</v>
      </c>
      <c r="F2" s="19">
        <v>0</v>
      </c>
      <c r="G2" s="1"/>
    </row>
    <row r="3" spans="1:8" x14ac:dyDescent="0.2">
      <c r="A3" s="28">
        <v>2.5000000000000001E-2</v>
      </c>
      <c r="B3" s="38">
        <v>1.3049999999999999</v>
      </c>
      <c r="C3" s="44">
        <v>1.7889999999999999</v>
      </c>
      <c r="D3" s="28">
        <v>2.5000000000000001E-2</v>
      </c>
      <c r="E3" s="3">
        <v>1.3073600000000001</v>
      </c>
      <c r="F3" s="7">
        <v>1.7906899999999999</v>
      </c>
      <c r="G3" s="1"/>
    </row>
    <row r="4" spans="1:8" x14ac:dyDescent="0.2">
      <c r="A4" s="28">
        <v>0.05</v>
      </c>
      <c r="B4" s="38">
        <v>2.4550000000000001</v>
      </c>
      <c r="C4" s="44">
        <v>3.37</v>
      </c>
      <c r="D4" s="28">
        <v>0.05</v>
      </c>
      <c r="E4" s="3">
        <v>2.4549500000000002</v>
      </c>
      <c r="F4" s="7">
        <v>3.3686799999999999</v>
      </c>
      <c r="G4" s="1"/>
    </row>
    <row r="5" spans="1:8" x14ac:dyDescent="0.2">
      <c r="A5" s="28">
        <v>7.4999999999999997E-2</v>
      </c>
      <c r="B5" s="38">
        <v>3.4350000000000001</v>
      </c>
      <c r="C5" s="44">
        <v>4.72</v>
      </c>
      <c r="D5" s="28">
        <v>7.4999999999999997E-2</v>
      </c>
      <c r="E5" s="3">
        <v>3.4319600000000001</v>
      </c>
      <c r="F5" s="7">
        <v>4.7149200000000002</v>
      </c>
      <c r="G5" s="1"/>
    </row>
    <row r="6" spans="1:8" x14ac:dyDescent="0.2">
      <c r="A6" s="28">
        <v>0.1</v>
      </c>
      <c r="B6" s="38">
        <v>4.2770000000000001</v>
      </c>
      <c r="C6" s="44">
        <v>5.8760000000000003</v>
      </c>
      <c r="D6" s="28">
        <v>0.1</v>
      </c>
      <c r="E6" s="3">
        <v>4.2717299999999998</v>
      </c>
      <c r="F6" s="7">
        <v>5.8686999999999996</v>
      </c>
      <c r="G6" s="55">
        <f>E6/B6 - 1</f>
        <v>-1.232172083236005E-3</v>
      </c>
      <c r="H6" s="55">
        <f>F6/C6 - 1</f>
        <v>-1.2423417290675642E-3</v>
      </c>
    </row>
    <row r="7" spans="1:8" x14ac:dyDescent="0.2">
      <c r="A7" s="28">
        <v>0.125</v>
      </c>
      <c r="B7" s="38">
        <v>5.0069999999999997</v>
      </c>
      <c r="C7" s="44">
        <v>6.8719999999999999</v>
      </c>
      <c r="D7" s="28">
        <v>0.125</v>
      </c>
      <c r="E7" s="3">
        <v>5.0017800000000001</v>
      </c>
      <c r="F7" s="7">
        <v>6.8640999999999996</v>
      </c>
      <c r="G7" s="1"/>
      <c r="H7" s="1"/>
    </row>
    <row r="8" spans="1:8" x14ac:dyDescent="0.2">
      <c r="A8" s="28">
        <v>0.15</v>
      </c>
      <c r="B8" s="38">
        <v>5.649</v>
      </c>
      <c r="C8" s="44">
        <v>7.7359999999999998</v>
      </c>
      <c r="D8" s="28">
        <v>0.15</v>
      </c>
      <c r="E8" s="3">
        <v>5.6427300000000002</v>
      </c>
      <c r="F8" s="7">
        <v>7.7283999999999997</v>
      </c>
      <c r="G8" s="1"/>
      <c r="H8" s="1"/>
    </row>
    <row r="9" spans="1:8" x14ac:dyDescent="0.2">
      <c r="A9" s="28">
        <v>0.2</v>
      </c>
      <c r="B9" s="38">
        <v>6.7249999999999996</v>
      </c>
      <c r="C9" s="44">
        <v>9.16</v>
      </c>
      <c r="D9" s="28">
        <v>0.17499999999999999</v>
      </c>
      <c r="E9" s="3">
        <v>6.21089</v>
      </c>
      <c r="F9" s="7">
        <v>8.48461</v>
      </c>
      <c r="G9" s="1"/>
      <c r="H9" s="1"/>
    </row>
    <row r="10" spans="1:8" x14ac:dyDescent="0.2">
      <c r="A10" s="28">
        <v>0.25</v>
      </c>
      <c r="B10" s="38">
        <v>7.6020000000000003</v>
      </c>
      <c r="C10" s="44">
        <v>10.288</v>
      </c>
      <c r="D10" s="28">
        <v>0.2</v>
      </c>
      <c r="E10" s="3">
        <v>6.7193800000000001</v>
      </c>
      <c r="F10" s="7">
        <v>9.1520299999999999</v>
      </c>
      <c r="G10" s="55">
        <f>E10/B9 - 1</f>
        <v>-8.356877323418832E-4</v>
      </c>
      <c r="H10" s="55">
        <f>F10/C9 - 1</f>
        <v>-8.700873362446071E-4</v>
      </c>
    </row>
    <row r="11" spans="1:8" x14ac:dyDescent="0.2">
      <c r="A11" s="28">
        <v>0.3</v>
      </c>
      <c r="B11" s="38">
        <v>8.34</v>
      </c>
      <c r="C11" s="44">
        <v>11.212999999999999</v>
      </c>
      <c r="D11" s="28">
        <v>0.22500000000000001</v>
      </c>
      <c r="E11" s="3">
        <v>7.1785699999999997</v>
      </c>
      <c r="F11" s="7">
        <v>9.7464099999999991</v>
      </c>
      <c r="G11" s="1"/>
      <c r="H11" s="1"/>
    </row>
    <row r="12" spans="1:8" x14ac:dyDescent="0.2">
      <c r="A12" s="28">
        <v>0.35</v>
      </c>
      <c r="B12" s="38">
        <v>8.9740000000000002</v>
      </c>
      <c r="C12" s="44">
        <v>11.992000000000001</v>
      </c>
      <c r="D12" s="28">
        <v>0.25</v>
      </c>
      <c r="E12" s="3">
        <v>7.5965999999999996</v>
      </c>
      <c r="F12" s="7">
        <v>10.2803</v>
      </c>
      <c r="G12" s="1"/>
      <c r="H12" s="1"/>
    </row>
    <row r="13" spans="1:8" x14ac:dyDescent="0.2">
      <c r="A13" s="28">
        <v>0.4</v>
      </c>
      <c r="B13" s="38">
        <v>9.5289999999999999</v>
      </c>
      <c r="C13" s="44">
        <v>12.661</v>
      </c>
      <c r="D13" s="28">
        <v>0.27500000000000002</v>
      </c>
      <c r="E13" s="3">
        <v>7.9797799999999999</v>
      </c>
      <c r="F13" s="7">
        <v>10.7637</v>
      </c>
      <c r="G13" s="1"/>
      <c r="H13" s="1"/>
    </row>
    <row r="14" spans="1:8" x14ac:dyDescent="0.2">
      <c r="A14" s="28">
        <v>0.45</v>
      </c>
      <c r="B14" s="38">
        <v>10.023</v>
      </c>
      <c r="C14" s="44">
        <v>13.247</v>
      </c>
      <c r="D14" s="28">
        <v>0.3</v>
      </c>
      <c r="E14" s="3">
        <v>8.3331300000000006</v>
      </c>
      <c r="F14" s="7">
        <v>11.2043</v>
      </c>
      <c r="G14" s="55">
        <f>E14/B11 - 1</f>
        <v>-8.2374100719417864E-4</v>
      </c>
      <c r="H14" s="55">
        <f>F14/C11 - 1</f>
        <v>-7.7588513332726983E-4</v>
      </c>
    </row>
    <row r="15" spans="1:8" x14ac:dyDescent="0.2">
      <c r="A15" s="28">
        <v>0.5</v>
      </c>
      <c r="B15" s="38">
        <v>10.468</v>
      </c>
      <c r="C15" s="44">
        <v>13.768000000000001</v>
      </c>
      <c r="D15" s="28">
        <v>0.32500000000000001</v>
      </c>
      <c r="E15" s="3">
        <v>8.6606699999999996</v>
      </c>
      <c r="F15" s="7">
        <v>11.608499999999999</v>
      </c>
      <c r="G15" s="1"/>
      <c r="H15" s="1"/>
    </row>
    <row r="16" spans="1:8" x14ac:dyDescent="0.2">
      <c r="A16" s="28">
        <v>0.55000000000000004</v>
      </c>
      <c r="B16" s="38">
        <v>10.875999999999999</v>
      </c>
      <c r="C16" s="44">
        <v>14.24</v>
      </c>
      <c r="D16" s="28">
        <v>0.35</v>
      </c>
      <c r="E16" s="3">
        <v>8.9657</v>
      </c>
      <c r="F16" s="7">
        <v>11.981299999999999</v>
      </c>
      <c r="G16" s="1"/>
      <c r="H16" s="1"/>
    </row>
    <row r="17" spans="1:8" x14ac:dyDescent="0.2">
      <c r="A17" s="28">
        <v>0.6</v>
      </c>
      <c r="B17" s="38">
        <v>11.257</v>
      </c>
      <c r="C17" s="44">
        <v>14.673999999999999</v>
      </c>
      <c r="D17" s="28">
        <v>0.375</v>
      </c>
      <c r="E17" s="3">
        <v>9.2509700000000006</v>
      </c>
      <c r="F17" s="7">
        <v>12.3269</v>
      </c>
      <c r="G17" s="1"/>
      <c r="H17" s="1"/>
    </row>
    <row r="18" spans="1:8" x14ac:dyDescent="0.2">
      <c r="A18" s="28">
        <v>0.65</v>
      </c>
      <c r="B18" s="38">
        <v>11.62</v>
      </c>
      <c r="C18" s="44">
        <v>15.081</v>
      </c>
      <c r="D18" s="28">
        <v>0.4</v>
      </c>
      <c r="E18" s="3">
        <v>9.5188400000000009</v>
      </c>
      <c r="F18" s="7">
        <v>12.6488</v>
      </c>
      <c r="G18" s="55">
        <f>E18/B13 - 1</f>
        <v>-1.0662189106935838E-3</v>
      </c>
      <c r="H18" s="55">
        <f>F18/C13 - 1</f>
        <v>-9.6358897401471744E-4</v>
      </c>
    </row>
    <row r="19" spans="1:8" x14ac:dyDescent="0.2">
      <c r="A19" s="28">
        <v>0.7</v>
      </c>
      <c r="B19" s="38">
        <v>11.97</v>
      </c>
      <c r="C19" s="44">
        <v>15.468999999999999</v>
      </c>
      <c r="D19" s="28">
        <v>0.42499999999999999</v>
      </c>
      <c r="E19" s="3">
        <v>9.7713099999999997</v>
      </c>
      <c r="F19" s="7">
        <v>12.9498</v>
      </c>
      <c r="G19" s="1"/>
      <c r="H19" s="1"/>
    </row>
    <row r="20" spans="1:8" x14ac:dyDescent="0.2">
      <c r="A20" s="28">
        <v>0.75</v>
      </c>
      <c r="B20" s="38">
        <v>12.31</v>
      </c>
      <c r="C20" s="44">
        <v>15.842000000000001</v>
      </c>
      <c r="D20" s="28">
        <v>0.45</v>
      </c>
      <c r="E20" s="3">
        <v>10.010199999999999</v>
      </c>
      <c r="F20" s="7">
        <v>13.2326</v>
      </c>
      <c r="G20" s="1"/>
      <c r="H20" s="1"/>
    </row>
    <row r="21" spans="1:8" x14ac:dyDescent="0.2">
      <c r="A21" s="28">
        <v>0.8</v>
      </c>
      <c r="B21" s="38">
        <v>12.641999999999999</v>
      </c>
      <c r="C21" s="44">
        <v>16.202000000000002</v>
      </c>
      <c r="D21" s="28">
        <v>0.47499999999999998</v>
      </c>
      <c r="E21" s="3">
        <v>10.237</v>
      </c>
      <c r="F21" s="7">
        <v>13.4993</v>
      </c>
      <c r="G21" s="1"/>
      <c r="H21" s="1"/>
    </row>
    <row r="22" spans="1:8" x14ac:dyDescent="0.2">
      <c r="A22" s="28">
        <v>0.85</v>
      </c>
      <c r="B22" s="38">
        <v>12.965999999999999</v>
      </c>
      <c r="C22" s="44">
        <v>16.55</v>
      </c>
      <c r="D22" s="28">
        <v>0.5</v>
      </c>
      <c r="E22" s="3">
        <v>10.453200000000001</v>
      </c>
      <c r="F22" s="7">
        <v>13.751899999999999</v>
      </c>
      <c r="G22" s="55">
        <f>E22/B15 - 1</f>
        <v>-1.4138326327856054E-3</v>
      </c>
      <c r="H22" s="55">
        <f>F22/C15 - 1</f>
        <v>-1.1693782684486509E-3</v>
      </c>
    </row>
    <row r="23" spans="1:8" x14ac:dyDescent="0.2">
      <c r="A23" s="28">
        <v>0.9</v>
      </c>
      <c r="B23" s="38">
        <v>13.282</v>
      </c>
      <c r="C23" s="44">
        <v>16.885999999999999</v>
      </c>
      <c r="D23" s="28">
        <v>0.52500000000000002</v>
      </c>
      <c r="E23" s="3">
        <v>10.6602</v>
      </c>
      <c r="F23" s="7">
        <v>13.992100000000001</v>
      </c>
      <c r="G23" s="1"/>
      <c r="H23" s="1"/>
    </row>
    <row r="24" spans="1:8" x14ac:dyDescent="0.2">
      <c r="A24" s="28">
        <v>0.95</v>
      </c>
      <c r="B24" s="38">
        <v>13.59</v>
      </c>
      <c r="C24" s="44">
        <v>17.212</v>
      </c>
      <c r="D24" s="28">
        <v>0.55000000000000004</v>
      </c>
      <c r="E24" s="3">
        <v>10.8592</v>
      </c>
      <c r="F24" s="7">
        <v>14.221500000000001</v>
      </c>
      <c r="G24" s="1"/>
      <c r="H24" s="1"/>
    </row>
    <row r="25" spans="1:8" ht="17" thickBot="1" x14ac:dyDescent="0.25">
      <c r="A25" s="29">
        <v>1</v>
      </c>
      <c r="B25" s="40">
        <v>13.891</v>
      </c>
      <c r="C25" s="45">
        <v>17.527999999999999</v>
      </c>
      <c r="D25" s="28">
        <v>0.57499999999999996</v>
      </c>
      <c r="E25" s="3">
        <v>11.051500000000001</v>
      </c>
      <c r="F25" s="7">
        <v>14.441700000000001</v>
      </c>
      <c r="G25" s="1"/>
      <c r="H25" s="1"/>
    </row>
    <row r="26" spans="1:8" x14ac:dyDescent="0.2">
      <c r="D26" s="28">
        <v>0.6</v>
      </c>
      <c r="E26" s="3">
        <v>11.238200000000001</v>
      </c>
      <c r="F26" s="7">
        <v>14.654</v>
      </c>
      <c r="G26" s="55">
        <f>E26/B17 - 1</f>
        <v>-1.6700719552277254E-3</v>
      </c>
      <c r="H26" s="55">
        <f>F26/C17 - 1</f>
        <v>-1.3629548861932017E-3</v>
      </c>
    </row>
    <row r="27" spans="1:8" x14ac:dyDescent="0.2">
      <c r="D27" s="28">
        <v>0.625</v>
      </c>
      <c r="E27" s="3">
        <v>11.420500000000001</v>
      </c>
      <c r="F27" s="7">
        <v>14.8597</v>
      </c>
      <c r="G27" s="1"/>
      <c r="H27" s="1"/>
    </row>
    <row r="28" spans="1:8" x14ac:dyDescent="0.2">
      <c r="D28" s="28">
        <v>0.65</v>
      </c>
      <c r="E28" s="3">
        <v>11.5992</v>
      </c>
      <c r="F28" s="7">
        <v>15.059900000000001</v>
      </c>
      <c r="G28" s="1"/>
      <c r="H28" s="1"/>
    </row>
    <row r="29" spans="1:8" x14ac:dyDescent="0.2">
      <c r="D29" s="28">
        <v>0.67500000000000004</v>
      </c>
      <c r="E29" s="3">
        <v>11.775</v>
      </c>
      <c r="F29" s="7">
        <v>15.2553</v>
      </c>
      <c r="G29" s="1"/>
      <c r="H29" s="1"/>
    </row>
    <row r="30" spans="1:8" x14ac:dyDescent="0.2">
      <c r="D30" s="28">
        <v>0.7</v>
      </c>
      <c r="E30" s="3">
        <v>11.9483</v>
      </c>
      <c r="F30" s="7">
        <v>15.4466</v>
      </c>
      <c r="G30" s="55">
        <f>E30/B19 - 1</f>
        <v>-1.8128654970761549E-3</v>
      </c>
      <c r="H30" s="55">
        <f>F30/C19 - 1</f>
        <v>-1.4480574051327633E-3</v>
      </c>
    </row>
    <row r="31" spans="1:8" x14ac:dyDescent="0.2">
      <c r="D31" s="28">
        <v>0.72499999999999998</v>
      </c>
      <c r="E31" s="3">
        <v>12.119199999999999</v>
      </c>
      <c r="F31" s="7">
        <v>15.6342</v>
      </c>
      <c r="G31" s="1"/>
      <c r="H31" s="1"/>
    </row>
    <row r="32" spans="1:8" x14ac:dyDescent="0.2">
      <c r="D32" s="28">
        <v>0.75</v>
      </c>
      <c r="E32" s="3">
        <v>12.288</v>
      </c>
      <c r="F32" s="7">
        <v>15.818300000000001</v>
      </c>
      <c r="G32" s="1"/>
      <c r="H32" s="1"/>
    </row>
    <row r="33" spans="4:8" x14ac:dyDescent="0.2">
      <c r="D33" s="28">
        <v>0.77500000000000002</v>
      </c>
      <c r="E33" s="3">
        <v>12.454599999999999</v>
      </c>
      <c r="F33" s="7">
        <v>15.999000000000001</v>
      </c>
      <c r="G33" s="1"/>
      <c r="H33" s="1"/>
    </row>
    <row r="34" spans="4:8" x14ac:dyDescent="0.2">
      <c r="D34" s="28">
        <v>0.8</v>
      </c>
      <c r="E34" s="3">
        <v>12.6191</v>
      </c>
      <c r="F34" s="7">
        <v>16.176600000000001</v>
      </c>
      <c r="G34" s="55">
        <f>E34/B21 - 1</f>
        <v>-1.8114222433158744E-3</v>
      </c>
      <c r="H34" s="55">
        <f>F34/C21 - 1</f>
        <v>-1.5677076904087039E-3</v>
      </c>
    </row>
    <row r="35" spans="4:8" x14ac:dyDescent="0.2">
      <c r="D35" s="28">
        <v>0.82499999999999996</v>
      </c>
      <c r="E35" s="3">
        <v>12.781599999999999</v>
      </c>
      <c r="F35" s="7">
        <v>16.351299999999998</v>
      </c>
      <c r="G35" s="1"/>
      <c r="H35" s="1"/>
    </row>
    <row r="36" spans="4:8" x14ac:dyDescent="0.2">
      <c r="D36" s="28">
        <v>0.85</v>
      </c>
      <c r="E36" s="3">
        <v>12.9421</v>
      </c>
      <c r="F36" s="7">
        <v>16.523</v>
      </c>
      <c r="G36" s="1"/>
      <c r="H36" s="1"/>
    </row>
    <row r="37" spans="4:8" x14ac:dyDescent="0.2">
      <c r="D37" s="28">
        <v>0.875</v>
      </c>
      <c r="E37" s="3">
        <v>13.1006</v>
      </c>
      <c r="F37" s="7">
        <v>16.692</v>
      </c>
      <c r="G37" s="1"/>
      <c r="H37" s="1"/>
    </row>
    <row r="38" spans="4:8" x14ac:dyDescent="0.2">
      <c r="D38" s="28">
        <v>0.9</v>
      </c>
      <c r="E38" s="3">
        <v>13.257099999999999</v>
      </c>
      <c r="F38" s="7">
        <v>16.8582</v>
      </c>
      <c r="G38" s="55">
        <f>E38/B23 - 1</f>
        <v>-1.874717663002623E-3</v>
      </c>
      <c r="H38" s="55">
        <f>F38/C23 - 1</f>
        <v>-1.6463342413833848E-3</v>
      </c>
    </row>
    <row r="39" spans="4:8" x14ac:dyDescent="0.2">
      <c r="D39" s="28">
        <v>0.92500000000000004</v>
      </c>
      <c r="E39" s="3">
        <v>13.4116</v>
      </c>
      <c r="F39" s="7">
        <v>17.021799999999999</v>
      </c>
      <c r="G39" s="1"/>
      <c r="H39" s="1"/>
    </row>
    <row r="40" spans="4:8" x14ac:dyDescent="0.2">
      <c r="D40" s="28">
        <v>0.95</v>
      </c>
      <c r="E40" s="3">
        <v>13.5642</v>
      </c>
      <c r="F40" s="7">
        <v>17.182700000000001</v>
      </c>
      <c r="G40" s="1"/>
      <c r="H40" s="1"/>
    </row>
    <row r="41" spans="4:8" x14ac:dyDescent="0.2">
      <c r="D41" s="28">
        <v>0.97499999999999998</v>
      </c>
      <c r="E41" s="3">
        <v>13.714700000000001</v>
      </c>
      <c r="F41" s="7">
        <v>17.341200000000001</v>
      </c>
      <c r="G41" s="1"/>
      <c r="H41" s="1"/>
    </row>
    <row r="42" spans="4:8" ht="17" thickBot="1" x14ac:dyDescent="0.25">
      <c r="D42" s="29">
        <v>1</v>
      </c>
      <c r="E42" s="6">
        <v>13.863200000000001</v>
      </c>
      <c r="F42" s="8">
        <v>17.4971</v>
      </c>
      <c r="G42" s="55">
        <f>E42/B25 - 1</f>
        <v>-2.0012958030378725E-3</v>
      </c>
      <c r="H42" s="55">
        <f>F42/C25 - 1</f>
        <v>-1.7628936558647945E-3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069C-AAA0-CB41-AE1C-E16003BBC911}">
  <dimension ref="A1:K113"/>
  <sheetViews>
    <sheetView workbookViewId="0">
      <selection activeCell="D1" sqref="D1:F1"/>
    </sheetView>
  </sheetViews>
  <sheetFormatPr baseColWidth="10" defaultRowHeight="16" x14ac:dyDescent="0.2"/>
  <sheetData>
    <row r="1" spans="1:8" ht="17" thickBot="1" x14ac:dyDescent="0.25">
      <c r="A1" s="20" t="s">
        <v>14</v>
      </c>
      <c r="B1" s="21" t="s">
        <v>15</v>
      </c>
      <c r="C1" s="22" t="s">
        <v>20</v>
      </c>
      <c r="D1" s="62" t="s">
        <v>17</v>
      </c>
      <c r="E1" s="63" t="s">
        <v>18</v>
      </c>
      <c r="F1" s="64" t="s">
        <v>21</v>
      </c>
      <c r="G1" s="60" t="s">
        <v>31</v>
      </c>
      <c r="H1" s="60" t="s">
        <v>32</v>
      </c>
    </row>
    <row r="2" spans="1:8" x14ac:dyDescent="0.2">
      <c r="A2" s="31">
        <v>0</v>
      </c>
      <c r="B2" s="36">
        <v>0</v>
      </c>
      <c r="C2" s="37">
        <v>0</v>
      </c>
      <c r="D2" s="31">
        <v>0</v>
      </c>
      <c r="E2" s="18">
        <v>0</v>
      </c>
      <c r="F2" s="19">
        <v>0</v>
      </c>
      <c r="G2" s="1"/>
    </row>
    <row r="3" spans="1:8" x14ac:dyDescent="0.2">
      <c r="A3" s="28">
        <v>0.05</v>
      </c>
      <c r="B3" s="38">
        <v>0.85499999999999998</v>
      </c>
      <c r="C3" s="39">
        <v>0.95499999999999996</v>
      </c>
      <c r="D3" s="28">
        <v>2.5000000000000001E-2</v>
      </c>
      <c r="E3" s="3">
        <v>0.45127899999999999</v>
      </c>
      <c r="F3" s="7">
        <v>0.47656900000000002</v>
      </c>
      <c r="G3" s="1"/>
    </row>
    <row r="4" spans="1:8" x14ac:dyDescent="0.2">
      <c r="A4" s="28">
        <v>0.1</v>
      </c>
      <c r="B4" s="38">
        <v>1.4990000000000001</v>
      </c>
      <c r="C4" s="39">
        <v>1.84</v>
      </c>
      <c r="D4" s="28">
        <v>0.05</v>
      </c>
      <c r="E4" s="3">
        <v>0.85512100000000002</v>
      </c>
      <c r="F4" s="7">
        <v>0.95138</v>
      </c>
      <c r="G4" s="1"/>
    </row>
    <row r="5" spans="1:8" x14ac:dyDescent="0.2">
      <c r="A5" s="28">
        <v>0.15</v>
      </c>
      <c r="B5" s="38">
        <v>1.9690000000000001</v>
      </c>
      <c r="C5" s="39">
        <v>2.6040000000000001</v>
      </c>
      <c r="D5" s="28">
        <v>7.4999999999999997E-2</v>
      </c>
      <c r="E5" s="3">
        <v>1.2035899999999999</v>
      </c>
      <c r="F5" s="7">
        <v>1.4051499999999999</v>
      </c>
      <c r="G5" s="1"/>
    </row>
    <row r="6" spans="1:8" x14ac:dyDescent="0.2">
      <c r="A6" s="28">
        <v>0.2</v>
      </c>
      <c r="B6" s="38">
        <v>2.3210000000000002</v>
      </c>
      <c r="C6" s="39">
        <v>3.2610000000000001</v>
      </c>
      <c r="D6" s="28">
        <v>0.1</v>
      </c>
      <c r="E6" s="3">
        <v>1.50013</v>
      </c>
      <c r="F6" s="7">
        <v>1.8293900000000001</v>
      </c>
      <c r="G6" s="55">
        <f>E6/B4 - 1</f>
        <v>7.5383589059363487E-4</v>
      </c>
      <c r="H6" s="55">
        <f>F6/C4 - 1</f>
        <v>-5.7663043478261011E-3</v>
      </c>
    </row>
    <row r="7" spans="1:8" x14ac:dyDescent="0.2">
      <c r="A7" s="28">
        <v>0.25</v>
      </c>
      <c r="B7" s="38">
        <v>2.5960000000000001</v>
      </c>
      <c r="C7" s="39">
        <v>3.8330000000000002</v>
      </c>
      <c r="D7" s="28">
        <v>0.125</v>
      </c>
      <c r="E7" s="3">
        <v>1.75267</v>
      </c>
      <c r="F7" s="7">
        <v>2.2226599999999999</v>
      </c>
    </row>
    <row r="8" spans="1:8" x14ac:dyDescent="0.2">
      <c r="A8" s="28">
        <v>0.3</v>
      </c>
      <c r="B8" s="38">
        <v>2.819</v>
      </c>
      <c r="C8" s="39">
        <v>4.3390000000000004</v>
      </c>
      <c r="D8" s="28">
        <v>0.15</v>
      </c>
      <c r="E8" s="3">
        <v>1.9693700000000001</v>
      </c>
      <c r="F8" s="7">
        <v>2.5867200000000001</v>
      </c>
    </row>
    <row r="9" spans="1:8" x14ac:dyDescent="0.2">
      <c r="A9" s="28">
        <v>0.35</v>
      </c>
      <c r="B9" s="38">
        <v>3.0019999999999998</v>
      </c>
      <c r="C9" s="39">
        <v>4.79</v>
      </c>
      <c r="D9" s="28">
        <v>0.17499999999999999</v>
      </c>
      <c r="E9" s="3">
        <v>2.1571799999999999</v>
      </c>
      <c r="F9" s="7">
        <v>2.9243800000000002</v>
      </c>
    </row>
    <row r="10" spans="1:8" x14ac:dyDescent="0.2">
      <c r="A10" s="28">
        <v>0.4</v>
      </c>
      <c r="B10" s="38">
        <v>3.1579999999999999</v>
      </c>
      <c r="C10" s="39">
        <v>5.1959999999999997</v>
      </c>
      <c r="D10" s="28">
        <v>0.2</v>
      </c>
      <c r="E10" s="3">
        <v>2.3216100000000002</v>
      </c>
      <c r="F10" s="7">
        <v>3.2385199999999998</v>
      </c>
      <c r="G10" s="55">
        <f>E10/B6 - 1</f>
        <v>2.6281775096936855E-4</v>
      </c>
      <c r="H10" s="55">
        <f>F10/C6 - 1</f>
        <v>-6.8935909230298797E-3</v>
      </c>
    </row>
    <row r="11" spans="1:8" x14ac:dyDescent="0.2">
      <c r="A11" s="28">
        <v>0.45</v>
      </c>
      <c r="B11" s="38">
        <v>3.2909999999999999</v>
      </c>
      <c r="C11" s="39">
        <v>5.5650000000000004</v>
      </c>
      <c r="D11" s="28">
        <v>0.22500000000000001</v>
      </c>
      <c r="E11" s="3">
        <v>2.4669400000000001</v>
      </c>
      <c r="F11" s="7">
        <v>3.5318299999999998</v>
      </c>
    </row>
    <row r="12" spans="1:8" x14ac:dyDescent="0.2">
      <c r="A12" s="28">
        <v>0.5</v>
      </c>
      <c r="B12" s="38">
        <v>3.4060000000000001</v>
      </c>
      <c r="C12" s="39">
        <v>5.9020000000000001</v>
      </c>
      <c r="D12" s="28">
        <v>0.25</v>
      </c>
      <c r="E12" s="3">
        <v>2.5965099999999999</v>
      </c>
      <c r="F12" s="7">
        <v>3.8066200000000001</v>
      </c>
    </row>
    <row r="13" spans="1:8" x14ac:dyDescent="0.2">
      <c r="A13" s="28">
        <v>0.55000000000000004</v>
      </c>
      <c r="B13" s="38">
        <v>3.508</v>
      </c>
      <c r="C13" s="39">
        <v>6.2119999999999997</v>
      </c>
      <c r="D13" s="28">
        <v>0.27500000000000002</v>
      </c>
      <c r="E13" s="3">
        <v>2.7128899999999998</v>
      </c>
      <c r="F13" s="7">
        <v>4.0648900000000001</v>
      </c>
    </row>
    <row r="14" spans="1:8" x14ac:dyDescent="0.2">
      <c r="A14" s="28">
        <v>0.6</v>
      </c>
      <c r="B14" s="38">
        <v>3.5979999999999999</v>
      </c>
      <c r="C14" s="39">
        <v>6.4969999999999999</v>
      </c>
      <c r="D14" s="28">
        <v>0.3</v>
      </c>
      <c r="E14" s="3">
        <v>2.81813</v>
      </c>
      <c r="F14" s="7">
        <v>4.3083400000000003</v>
      </c>
      <c r="G14" s="55">
        <f>E14/B8 - 1</f>
        <v>-3.0862007804188796E-4</v>
      </c>
      <c r="H14" s="55">
        <f>F14/C8 - 1</f>
        <v>-7.0661442728739976E-3</v>
      </c>
    </row>
    <row r="15" spans="1:8" x14ac:dyDescent="0.2">
      <c r="A15" s="28">
        <v>0.65</v>
      </c>
      <c r="B15" s="38">
        <v>3.6779999999999999</v>
      </c>
      <c r="C15" s="39">
        <v>6.7610000000000001</v>
      </c>
      <c r="D15" s="28">
        <v>0.32500000000000001</v>
      </c>
      <c r="E15" s="3">
        <v>2.9138700000000002</v>
      </c>
      <c r="F15" s="7">
        <v>4.5384200000000003</v>
      </c>
    </row>
    <row r="16" spans="1:8" x14ac:dyDescent="0.2">
      <c r="A16" s="28">
        <v>0.7</v>
      </c>
      <c r="B16" s="38">
        <v>3.75</v>
      </c>
      <c r="C16" s="39">
        <v>7.0060000000000002</v>
      </c>
      <c r="D16" s="28">
        <v>0.35</v>
      </c>
      <c r="E16" s="3">
        <v>3.00142</v>
      </c>
      <c r="F16" s="7">
        <v>4.7563800000000001</v>
      </c>
    </row>
    <row r="17" spans="1:8" x14ac:dyDescent="0.2">
      <c r="A17" s="28">
        <v>0.75</v>
      </c>
      <c r="B17" s="38">
        <v>3.8159999999999998</v>
      </c>
      <c r="C17" s="39">
        <v>7.234</v>
      </c>
      <c r="D17" s="28">
        <v>0.375</v>
      </c>
      <c r="E17" s="3">
        <v>3.0818500000000002</v>
      </c>
      <c r="F17" s="7">
        <v>4.9633000000000003</v>
      </c>
    </row>
    <row r="18" spans="1:8" x14ac:dyDescent="0.2">
      <c r="A18" s="28">
        <v>0.8</v>
      </c>
      <c r="B18" s="38">
        <v>3.875</v>
      </c>
      <c r="C18" s="39">
        <v>7.4480000000000004</v>
      </c>
      <c r="D18" s="28">
        <v>0.4</v>
      </c>
      <c r="E18" s="3">
        <v>3.1560600000000001</v>
      </c>
      <c r="F18" s="7">
        <v>5.1600999999999999</v>
      </c>
      <c r="G18" s="55">
        <f>E18/B10 - 1</f>
        <v>-6.1431285623803067E-4</v>
      </c>
      <c r="H18" s="55">
        <f>F18/C10 - 1</f>
        <v>-6.909160892994537E-3</v>
      </c>
    </row>
    <row r="19" spans="1:8" x14ac:dyDescent="0.2">
      <c r="A19" s="28">
        <v>0.85</v>
      </c>
      <c r="B19" s="38">
        <v>3.9289999999999998</v>
      </c>
      <c r="C19" s="39">
        <v>7.6470000000000002</v>
      </c>
      <c r="D19" s="28">
        <v>0.42499999999999999</v>
      </c>
      <c r="E19" s="3">
        <v>3.2247699999999999</v>
      </c>
      <c r="F19" s="7">
        <v>5.3475999999999999</v>
      </c>
    </row>
    <row r="20" spans="1:8" x14ac:dyDescent="0.2">
      <c r="A20" s="28">
        <v>0.9</v>
      </c>
      <c r="B20" s="38">
        <v>3.9790000000000001</v>
      </c>
      <c r="C20" s="39">
        <v>7.835</v>
      </c>
      <c r="D20" s="28">
        <v>0.45</v>
      </c>
      <c r="E20" s="3">
        <v>3.2886199999999999</v>
      </c>
      <c r="F20" s="7">
        <v>5.5265199999999997</v>
      </c>
    </row>
    <row r="21" spans="1:8" x14ac:dyDescent="0.2">
      <c r="A21" s="28">
        <v>0.95</v>
      </c>
      <c r="B21" s="38">
        <v>4.0250000000000004</v>
      </c>
      <c r="C21" s="39">
        <v>8.0109999999999992</v>
      </c>
      <c r="D21" s="28">
        <v>0.47499999999999998</v>
      </c>
      <c r="E21" s="3">
        <v>3.3481200000000002</v>
      </c>
      <c r="F21" s="7">
        <v>5.6974900000000002</v>
      </c>
    </row>
    <row r="22" spans="1:8" ht="17" thickBot="1" x14ac:dyDescent="0.25">
      <c r="A22" s="29">
        <v>1</v>
      </c>
      <c r="B22" s="40">
        <v>4.0670000000000002</v>
      </c>
      <c r="C22" s="41">
        <v>8.1780000000000008</v>
      </c>
      <c r="D22" s="28">
        <v>0.5</v>
      </c>
      <c r="E22" s="3">
        <v>3.4037299999999999</v>
      </c>
      <c r="F22" s="7">
        <v>5.8610899999999999</v>
      </c>
      <c r="G22" s="55">
        <f>E22/B12 - 1</f>
        <v>-6.6647093364657906E-4</v>
      </c>
      <c r="H22" s="55">
        <f>F22/C12 - 1</f>
        <v>-6.9315486275839389E-3</v>
      </c>
    </row>
    <row r="23" spans="1:8" x14ac:dyDescent="0.2">
      <c r="D23" s="28">
        <v>0.52500000000000002</v>
      </c>
      <c r="E23" s="3">
        <v>3.4558300000000002</v>
      </c>
      <c r="F23" s="7">
        <v>6.0178099999999999</v>
      </c>
    </row>
    <row r="24" spans="1:8" x14ac:dyDescent="0.2">
      <c r="D24" s="28">
        <v>0.55000000000000004</v>
      </c>
      <c r="E24" s="3">
        <v>3.5047700000000002</v>
      </c>
      <c r="F24" s="7">
        <v>6.16812</v>
      </c>
    </row>
    <row r="25" spans="1:8" x14ac:dyDescent="0.2">
      <c r="D25" s="28">
        <v>0.57499999999999996</v>
      </c>
      <c r="E25" s="3">
        <v>3.5508299999999999</v>
      </c>
      <c r="F25" s="7">
        <v>6.3124099999999999</v>
      </c>
    </row>
    <row r="26" spans="1:8" x14ac:dyDescent="0.2">
      <c r="D26" s="28">
        <v>0.6</v>
      </c>
      <c r="E26" s="3">
        <v>3.5942699999999999</v>
      </c>
      <c r="F26" s="7">
        <v>6.4510800000000001</v>
      </c>
      <c r="G26" s="55">
        <f>E26/B14 - 1</f>
        <v>-1.0366870483602408E-3</v>
      </c>
      <c r="H26" s="55">
        <f>F26/C14 - 1</f>
        <v>-7.0678774819147305E-3</v>
      </c>
    </row>
    <row r="27" spans="1:8" x14ac:dyDescent="0.2">
      <c r="D27" s="28">
        <v>0.625</v>
      </c>
      <c r="E27" s="3">
        <v>3.63531</v>
      </c>
      <c r="F27" s="7">
        <v>6.58446</v>
      </c>
    </row>
    <row r="28" spans="1:8" x14ac:dyDescent="0.2">
      <c r="D28" s="28">
        <v>0.65</v>
      </c>
      <c r="E28" s="3">
        <v>3.6741600000000001</v>
      </c>
      <c r="F28" s="7">
        <v>6.7128500000000004</v>
      </c>
    </row>
    <row r="29" spans="1:8" x14ac:dyDescent="0.2">
      <c r="D29" s="28">
        <v>0.67500000000000004</v>
      </c>
      <c r="E29" s="3">
        <v>3.7109999999999999</v>
      </c>
      <c r="F29" s="7">
        <v>6.8365499999999999</v>
      </c>
    </row>
    <row r="30" spans="1:8" x14ac:dyDescent="0.2">
      <c r="D30" s="28">
        <v>0.7</v>
      </c>
      <c r="E30" s="3">
        <v>3.7459799999999999</v>
      </c>
      <c r="F30" s="7">
        <v>6.9558200000000001</v>
      </c>
      <c r="G30" s="55">
        <f>E30/B16 - 1</f>
        <v>-1.0720000000000729E-3</v>
      </c>
      <c r="H30" s="55">
        <f>F30/C16 - 1</f>
        <v>-7.1624322009705699E-3</v>
      </c>
    </row>
    <row r="31" spans="1:8" x14ac:dyDescent="0.2">
      <c r="D31" s="28">
        <v>0.72499999999999998</v>
      </c>
      <c r="E31" s="3">
        <v>3.7792400000000002</v>
      </c>
      <c r="F31" s="7">
        <v>7.0709099999999996</v>
      </c>
    </row>
    <row r="32" spans="1:8" x14ac:dyDescent="0.2">
      <c r="D32" s="28">
        <v>0.75</v>
      </c>
      <c r="E32" s="3">
        <v>3.8109199999999999</v>
      </c>
      <c r="F32" s="7">
        <v>7.1820300000000001</v>
      </c>
    </row>
    <row r="33" spans="4:11" x14ac:dyDescent="0.2">
      <c r="D33" s="28">
        <v>0.77500000000000002</v>
      </c>
      <c r="E33" s="3">
        <v>3.8411200000000001</v>
      </c>
      <c r="F33" s="7">
        <v>7.2893999999999997</v>
      </c>
    </row>
    <row r="34" spans="4:11" x14ac:dyDescent="0.2">
      <c r="D34" s="28">
        <v>0.8</v>
      </c>
      <c r="E34" s="3">
        <v>3.8699599999999998</v>
      </c>
      <c r="F34" s="7">
        <v>7.3932000000000002</v>
      </c>
      <c r="G34" s="55">
        <f>E34/B18 - 1</f>
        <v>-1.3006451612903591E-3</v>
      </c>
      <c r="H34" s="55">
        <f>F34/C18 - 1</f>
        <v>-7.3576799140708804E-3</v>
      </c>
      <c r="J34" s="42"/>
      <c r="K34" s="42"/>
    </row>
    <row r="35" spans="4:11" x14ac:dyDescent="0.2">
      <c r="D35" s="28">
        <v>0.82499999999999996</v>
      </c>
      <c r="E35" s="3">
        <v>3.8975200000000001</v>
      </c>
      <c r="F35" s="7">
        <v>7.4936299999999996</v>
      </c>
      <c r="J35" s="42"/>
      <c r="K35" s="42"/>
    </row>
    <row r="36" spans="4:11" x14ac:dyDescent="0.2">
      <c r="D36" s="28">
        <v>0.85</v>
      </c>
      <c r="E36" s="3">
        <v>3.9238900000000001</v>
      </c>
      <c r="F36" s="7">
        <v>7.59084</v>
      </c>
      <c r="J36" s="42"/>
      <c r="K36" s="42"/>
    </row>
    <row r="37" spans="4:11" x14ac:dyDescent="0.2">
      <c r="D37" s="28">
        <v>0.875</v>
      </c>
      <c r="E37" s="3">
        <v>3.9491499999999999</v>
      </c>
      <c r="F37" s="7">
        <v>7.6849999999999996</v>
      </c>
      <c r="J37" s="42"/>
      <c r="K37" s="42"/>
    </row>
    <row r="38" spans="4:11" x14ac:dyDescent="0.2">
      <c r="D38" s="28">
        <v>0.9</v>
      </c>
      <c r="E38" s="3">
        <v>3.9733800000000001</v>
      </c>
      <c r="F38" s="7">
        <v>7.7762399999999996</v>
      </c>
      <c r="G38" s="55">
        <f>E38/B20 - 1</f>
        <v>-1.4124151796933715E-3</v>
      </c>
      <c r="H38" s="55">
        <f>F38/C20 - 1</f>
        <v>-7.4996809189534774E-3</v>
      </c>
      <c r="J38" s="42"/>
      <c r="K38" s="42"/>
    </row>
    <row r="39" spans="4:11" x14ac:dyDescent="0.2">
      <c r="D39" s="28">
        <v>0.92500000000000004</v>
      </c>
      <c r="E39" s="3">
        <v>3.9966300000000001</v>
      </c>
      <c r="F39" s="7">
        <v>7.8647200000000002</v>
      </c>
      <c r="J39" s="42"/>
      <c r="K39" s="42"/>
    </row>
    <row r="40" spans="4:11" x14ac:dyDescent="0.2">
      <c r="D40" s="28">
        <v>0.95</v>
      </c>
      <c r="E40" s="3">
        <v>4.0189700000000004</v>
      </c>
      <c r="F40" s="7">
        <v>7.9505499999999998</v>
      </c>
      <c r="J40" s="42"/>
      <c r="K40" s="42"/>
    </row>
    <row r="41" spans="4:11" x14ac:dyDescent="0.2">
      <c r="D41" s="28">
        <v>0.97499999999999998</v>
      </c>
      <c r="E41" s="3">
        <v>4.0404499999999999</v>
      </c>
      <c r="F41" s="7">
        <v>8.0338600000000007</v>
      </c>
      <c r="J41" s="42"/>
      <c r="K41" s="42"/>
    </row>
    <row r="42" spans="4:11" ht="17" thickBot="1" x14ac:dyDescent="0.25">
      <c r="D42" s="29">
        <v>1</v>
      </c>
      <c r="E42" s="6">
        <v>4.0611199999999998</v>
      </c>
      <c r="F42" s="8">
        <v>8.1147600000000004</v>
      </c>
      <c r="G42" s="55">
        <f>E42/B22 - 1</f>
        <v>-1.4457831325301873E-3</v>
      </c>
      <c r="H42" s="55">
        <f>F42/C22 - 1</f>
        <v>-7.7329420396184956E-3</v>
      </c>
      <c r="J42" s="42"/>
      <c r="K42" s="42"/>
    </row>
    <row r="43" spans="4:11" x14ac:dyDescent="0.2">
      <c r="J43" s="42"/>
      <c r="K43" s="42"/>
    </row>
    <row r="44" spans="4:11" x14ac:dyDescent="0.2">
      <c r="J44" s="42"/>
      <c r="K44" s="42"/>
    </row>
    <row r="45" spans="4:11" x14ac:dyDescent="0.2">
      <c r="J45" s="42"/>
      <c r="K45" s="42"/>
    </row>
    <row r="46" spans="4:11" x14ac:dyDescent="0.2">
      <c r="J46" s="42"/>
      <c r="K46" s="42"/>
    </row>
    <row r="47" spans="4:11" x14ac:dyDescent="0.2">
      <c r="J47" s="42"/>
      <c r="K47" s="42"/>
    </row>
    <row r="48" spans="4:11" x14ac:dyDescent="0.2">
      <c r="J48" s="42"/>
      <c r="K48" s="42"/>
    </row>
    <row r="49" spans="10:11" x14ac:dyDescent="0.2">
      <c r="J49" s="42"/>
      <c r="K49" s="42"/>
    </row>
    <row r="50" spans="10:11" x14ac:dyDescent="0.2">
      <c r="J50" s="42"/>
      <c r="K50" s="42"/>
    </row>
    <row r="51" spans="10:11" x14ac:dyDescent="0.2">
      <c r="J51" s="42"/>
      <c r="K51" s="42"/>
    </row>
    <row r="52" spans="10:11" x14ac:dyDescent="0.2">
      <c r="J52" s="42"/>
      <c r="K52" s="42"/>
    </row>
    <row r="53" spans="10:11" x14ac:dyDescent="0.2">
      <c r="J53" s="42"/>
      <c r="K53" s="42"/>
    </row>
    <row r="54" spans="10:11" x14ac:dyDescent="0.2">
      <c r="J54" s="42"/>
      <c r="K54" s="42"/>
    </row>
    <row r="55" spans="10:11" x14ac:dyDescent="0.2">
      <c r="J55" s="42"/>
      <c r="K55" s="42"/>
    </row>
    <row r="56" spans="10:11" x14ac:dyDescent="0.2">
      <c r="J56" s="42"/>
      <c r="K56" s="42"/>
    </row>
    <row r="57" spans="10:11" x14ac:dyDescent="0.2">
      <c r="J57" s="42"/>
      <c r="K57" s="42"/>
    </row>
    <row r="58" spans="10:11" x14ac:dyDescent="0.2">
      <c r="J58" s="42"/>
      <c r="K58" s="42"/>
    </row>
    <row r="59" spans="10:11" x14ac:dyDescent="0.2">
      <c r="J59" s="42"/>
      <c r="K59" s="42"/>
    </row>
    <row r="60" spans="10:11" x14ac:dyDescent="0.2">
      <c r="J60" s="42"/>
      <c r="K60" s="42"/>
    </row>
    <row r="61" spans="10:11" x14ac:dyDescent="0.2">
      <c r="J61" s="42"/>
      <c r="K61" s="42"/>
    </row>
    <row r="62" spans="10:11" x14ac:dyDescent="0.2">
      <c r="J62" s="42"/>
      <c r="K62" s="42"/>
    </row>
    <row r="63" spans="10:11" x14ac:dyDescent="0.2">
      <c r="J63" s="42"/>
      <c r="K63" s="42"/>
    </row>
    <row r="64" spans="10:11" x14ac:dyDescent="0.2">
      <c r="J64" s="42"/>
      <c r="K64" s="42"/>
    </row>
    <row r="65" spans="10:11" x14ac:dyDescent="0.2">
      <c r="J65" s="42"/>
      <c r="K65" s="42"/>
    </row>
    <row r="66" spans="10:11" x14ac:dyDescent="0.2">
      <c r="J66" s="42"/>
      <c r="K66" s="42"/>
    </row>
    <row r="67" spans="10:11" x14ac:dyDescent="0.2">
      <c r="J67" s="42"/>
      <c r="K67" s="42"/>
    </row>
    <row r="68" spans="10:11" x14ac:dyDescent="0.2">
      <c r="J68" s="42"/>
      <c r="K68" s="42"/>
    </row>
    <row r="69" spans="10:11" x14ac:dyDescent="0.2">
      <c r="J69" s="42"/>
      <c r="K69" s="42"/>
    </row>
    <row r="70" spans="10:11" x14ac:dyDescent="0.2">
      <c r="J70" s="42"/>
      <c r="K70" s="42"/>
    </row>
    <row r="71" spans="10:11" x14ac:dyDescent="0.2">
      <c r="J71" s="42"/>
      <c r="K71" s="42"/>
    </row>
    <row r="72" spans="10:11" x14ac:dyDescent="0.2">
      <c r="J72" s="42"/>
      <c r="K72" s="42"/>
    </row>
    <row r="73" spans="10:11" x14ac:dyDescent="0.2">
      <c r="J73" s="42"/>
      <c r="K73" s="42"/>
    </row>
    <row r="74" spans="10:11" x14ac:dyDescent="0.2">
      <c r="J74" s="42"/>
      <c r="K74" s="42"/>
    </row>
    <row r="75" spans="10:11" x14ac:dyDescent="0.2">
      <c r="J75" s="42"/>
      <c r="K75" s="42"/>
    </row>
    <row r="76" spans="10:11" x14ac:dyDescent="0.2">
      <c r="J76" s="42"/>
      <c r="K76" s="42"/>
    </row>
    <row r="77" spans="10:11" x14ac:dyDescent="0.2">
      <c r="J77" s="42"/>
      <c r="K77" s="42"/>
    </row>
    <row r="78" spans="10:11" x14ac:dyDescent="0.2">
      <c r="J78" s="42"/>
      <c r="K78" s="42"/>
    </row>
    <row r="79" spans="10:11" x14ac:dyDescent="0.2">
      <c r="J79" s="42"/>
      <c r="K79" s="42"/>
    </row>
    <row r="80" spans="10:11" x14ac:dyDescent="0.2">
      <c r="J80" s="42"/>
      <c r="K80" s="42"/>
    </row>
    <row r="81" spans="10:11" x14ac:dyDescent="0.2">
      <c r="J81" s="42"/>
      <c r="K81" s="42"/>
    </row>
    <row r="82" spans="10:11" x14ac:dyDescent="0.2">
      <c r="J82" s="42"/>
      <c r="K82" s="42"/>
    </row>
    <row r="83" spans="10:11" x14ac:dyDescent="0.2">
      <c r="J83" s="42"/>
      <c r="K83" s="42"/>
    </row>
    <row r="84" spans="10:11" x14ac:dyDescent="0.2">
      <c r="J84" s="42"/>
      <c r="K84" s="42"/>
    </row>
    <row r="85" spans="10:11" x14ac:dyDescent="0.2">
      <c r="J85" s="42"/>
      <c r="K85" s="42"/>
    </row>
    <row r="86" spans="10:11" x14ac:dyDescent="0.2">
      <c r="J86" s="42"/>
      <c r="K86" s="42"/>
    </row>
    <row r="87" spans="10:11" x14ac:dyDescent="0.2">
      <c r="J87" s="42"/>
      <c r="K87" s="42"/>
    </row>
    <row r="88" spans="10:11" x14ac:dyDescent="0.2">
      <c r="J88" s="42"/>
      <c r="K88" s="42"/>
    </row>
    <row r="89" spans="10:11" x14ac:dyDescent="0.2">
      <c r="J89" s="42"/>
      <c r="K89" s="42"/>
    </row>
    <row r="90" spans="10:11" x14ac:dyDescent="0.2">
      <c r="J90" s="42"/>
      <c r="K90" s="42"/>
    </row>
    <row r="91" spans="10:11" x14ac:dyDescent="0.2">
      <c r="J91" s="42"/>
      <c r="K91" s="42"/>
    </row>
    <row r="92" spans="10:11" x14ac:dyDescent="0.2">
      <c r="J92" s="42"/>
      <c r="K92" s="42"/>
    </row>
    <row r="93" spans="10:11" x14ac:dyDescent="0.2">
      <c r="J93" s="42"/>
      <c r="K93" s="42"/>
    </row>
    <row r="94" spans="10:11" x14ac:dyDescent="0.2">
      <c r="J94" s="42"/>
      <c r="K94" s="42"/>
    </row>
    <row r="95" spans="10:11" x14ac:dyDescent="0.2">
      <c r="J95" s="42"/>
      <c r="K95" s="42"/>
    </row>
    <row r="96" spans="10:11" x14ac:dyDescent="0.2">
      <c r="J96" s="42"/>
      <c r="K96" s="42"/>
    </row>
    <row r="97" spans="10:11" x14ac:dyDescent="0.2">
      <c r="J97" s="42"/>
      <c r="K97" s="42"/>
    </row>
    <row r="98" spans="10:11" x14ac:dyDescent="0.2">
      <c r="J98" s="42"/>
      <c r="K98" s="42"/>
    </row>
    <row r="99" spans="10:11" x14ac:dyDescent="0.2">
      <c r="J99" s="42"/>
      <c r="K99" s="42"/>
    </row>
    <row r="100" spans="10:11" x14ac:dyDescent="0.2">
      <c r="J100" s="42"/>
      <c r="K100" s="42"/>
    </row>
    <row r="101" spans="10:11" x14ac:dyDescent="0.2">
      <c r="J101" s="42"/>
      <c r="K101" s="42"/>
    </row>
    <row r="102" spans="10:11" x14ac:dyDescent="0.2">
      <c r="J102" s="42"/>
      <c r="K102" s="42"/>
    </row>
    <row r="103" spans="10:11" x14ac:dyDescent="0.2">
      <c r="J103" s="42"/>
      <c r="K103" s="42"/>
    </row>
    <row r="104" spans="10:11" x14ac:dyDescent="0.2">
      <c r="J104" s="42"/>
      <c r="K104" s="42"/>
    </row>
    <row r="105" spans="10:11" x14ac:dyDescent="0.2">
      <c r="J105" s="42"/>
      <c r="K105" s="42"/>
    </row>
    <row r="106" spans="10:11" x14ac:dyDescent="0.2">
      <c r="J106" s="42"/>
      <c r="K106" s="42"/>
    </row>
    <row r="107" spans="10:11" x14ac:dyDescent="0.2">
      <c r="J107" s="42"/>
      <c r="K107" s="42"/>
    </row>
    <row r="108" spans="10:11" x14ac:dyDescent="0.2">
      <c r="J108" s="42"/>
      <c r="K108" s="42"/>
    </row>
    <row r="109" spans="10:11" x14ac:dyDescent="0.2">
      <c r="J109" s="42"/>
      <c r="K109" s="42"/>
    </row>
    <row r="110" spans="10:11" x14ac:dyDescent="0.2">
      <c r="J110" s="42"/>
      <c r="K110" s="42"/>
    </row>
    <row r="111" spans="10:11" x14ac:dyDescent="0.2">
      <c r="J111" s="42"/>
      <c r="K111" s="42"/>
    </row>
    <row r="112" spans="10:11" x14ac:dyDescent="0.2">
      <c r="J112" s="42"/>
      <c r="K112" s="42"/>
    </row>
    <row r="113" spans="10:11" x14ac:dyDescent="0.2">
      <c r="J113" s="42"/>
      <c r="K113" s="42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508C-8C26-0E43-AF81-12241330A1B6}">
  <dimension ref="A1:L113"/>
  <sheetViews>
    <sheetView topLeftCell="B1" zoomScaleNormal="100" workbookViewId="0">
      <selection activeCell="E1" sqref="E1:H1"/>
    </sheetView>
  </sheetViews>
  <sheetFormatPr baseColWidth="10" defaultRowHeight="16" x14ac:dyDescent="0.2"/>
  <sheetData>
    <row r="1" spans="1:11" ht="17" thickBot="1" x14ac:dyDescent="0.25">
      <c r="A1" s="20" t="s">
        <v>14</v>
      </c>
      <c r="B1" s="21" t="s">
        <v>15</v>
      </c>
      <c r="C1" s="22" t="s">
        <v>20</v>
      </c>
      <c r="D1" s="22" t="s">
        <v>22</v>
      </c>
      <c r="E1" s="62" t="s">
        <v>17</v>
      </c>
      <c r="F1" s="63" t="s">
        <v>18</v>
      </c>
      <c r="G1" s="64" t="s">
        <v>21</v>
      </c>
      <c r="H1" s="64" t="s">
        <v>23</v>
      </c>
      <c r="I1" s="60" t="s">
        <v>31</v>
      </c>
      <c r="J1" s="60" t="s">
        <v>32</v>
      </c>
      <c r="K1" s="60" t="s">
        <v>37</v>
      </c>
    </row>
    <row r="2" spans="1:11" x14ac:dyDescent="0.2">
      <c r="A2" s="31">
        <v>0</v>
      </c>
      <c r="B2" s="36">
        <v>0</v>
      </c>
      <c r="C2" s="36">
        <v>0</v>
      </c>
      <c r="D2" s="43">
        <v>0</v>
      </c>
      <c r="E2" s="57">
        <v>0</v>
      </c>
      <c r="F2" s="18">
        <v>0</v>
      </c>
      <c r="G2" s="18">
        <v>0</v>
      </c>
      <c r="H2" s="19">
        <v>0</v>
      </c>
    </row>
    <row r="3" spans="1:11" x14ac:dyDescent="0.2">
      <c r="A3" s="28">
        <v>2.5000000000000001E-2</v>
      </c>
      <c r="B3" s="38">
        <v>0.81899999999999995</v>
      </c>
      <c r="C3" s="38">
        <v>0.86399999999999999</v>
      </c>
      <c r="D3" s="44">
        <v>0.872</v>
      </c>
      <c r="E3" s="58">
        <v>1.2500000000000001E-2</v>
      </c>
      <c r="F3" s="3">
        <v>0.47849599999999998</v>
      </c>
      <c r="G3" s="3">
        <v>0.46835300000000002</v>
      </c>
      <c r="H3" s="7">
        <v>0.47169299999999997</v>
      </c>
    </row>
    <row r="4" spans="1:11" x14ac:dyDescent="0.2">
      <c r="A4" s="28">
        <v>0.05</v>
      </c>
      <c r="B4" s="38">
        <v>1.26</v>
      </c>
      <c r="C4" s="38">
        <v>1.4710000000000001</v>
      </c>
      <c r="D4" s="44">
        <v>1.4930000000000001</v>
      </c>
      <c r="E4" s="58">
        <v>2.5000000000000001E-2</v>
      </c>
      <c r="F4" s="3">
        <v>0.81941799999999998</v>
      </c>
      <c r="G4" s="3">
        <v>0.86475100000000005</v>
      </c>
      <c r="H4" s="7">
        <v>0.87281200000000003</v>
      </c>
    </row>
    <row r="5" spans="1:11" x14ac:dyDescent="0.2">
      <c r="A5" s="28">
        <v>7.4999999999999997E-2</v>
      </c>
      <c r="B5" s="38">
        <v>1.5269999999999999</v>
      </c>
      <c r="C5" s="38">
        <v>1.901</v>
      </c>
      <c r="D5" s="44">
        <v>1.946</v>
      </c>
      <c r="E5" s="58">
        <v>3.7499999999999999E-2</v>
      </c>
      <c r="F5" s="3">
        <v>1.06979</v>
      </c>
      <c r="G5" s="3">
        <v>1.1954400000000001</v>
      </c>
      <c r="H5" s="7">
        <v>1.2098899999999999</v>
      </c>
    </row>
    <row r="6" spans="1:11" x14ac:dyDescent="0.2">
      <c r="A6" s="28">
        <v>0.1</v>
      </c>
      <c r="B6" s="38">
        <v>1.7070000000000001</v>
      </c>
      <c r="C6" s="38">
        <v>2.2170000000000001</v>
      </c>
      <c r="D6" s="44">
        <v>2.2930000000000001</v>
      </c>
      <c r="E6" s="58">
        <v>0.05</v>
      </c>
      <c r="F6" s="3">
        <v>1.25962</v>
      </c>
      <c r="G6" s="3">
        <v>1.4716400000000001</v>
      </c>
      <c r="H6" s="7">
        <v>1.49437</v>
      </c>
    </row>
    <row r="7" spans="1:11" x14ac:dyDescent="0.2">
      <c r="A7" s="28">
        <v>0.15</v>
      </c>
      <c r="B7" s="38">
        <v>1.9359999999999999</v>
      </c>
      <c r="C7" s="38">
        <v>2.641</v>
      </c>
      <c r="D7" s="44">
        <v>2.7919999999999998</v>
      </c>
      <c r="E7" s="58">
        <v>6.25E-2</v>
      </c>
      <c r="F7" s="3">
        <v>1.4079600000000001</v>
      </c>
      <c r="G7" s="3">
        <v>1.7041500000000001</v>
      </c>
      <c r="H7" s="7">
        <v>1.7372000000000001</v>
      </c>
    </row>
    <row r="8" spans="1:11" x14ac:dyDescent="0.2">
      <c r="A8" s="28">
        <v>0.2</v>
      </c>
      <c r="B8" s="38">
        <v>2.0790000000000002</v>
      </c>
      <c r="C8" s="38">
        <v>2.9039999999999999</v>
      </c>
      <c r="D8" s="44">
        <v>3.1059999999999999</v>
      </c>
      <c r="E8" s="58">
        <v>7.4999999999999997E-2</v>
      </c>
      <c r="F8" s="3">
        <v>1.52701</v>
      </c>
      <c r="G8" s="3">
        <v>1.9017299999999999</v>
      </c>
      <c r="H8" s="7">
        <v>1.94729</v>
      </c>
    </row>
    <row r="9" spans="1:11" x14ac:dyDescent="0.2">
      <c r="A9" s="28">
        <v>0.25</v>
      </c>
      <c r="B9" s="38">
        <v>2.1800000000000002</v>
      </c>
      <c r="C9" s="38">
        <v>3.0870000000000002</v>
      </c>
      <c r="D9" s="44">
        <v>3.31</v>
      </c>
      <c r="E9" s="58">
        <v>8.7499999999999994E-2</v>
      </c>
      <c r="F9" s="3">
        <v>1.62479</v>
      </c>
      <c r="G9" s="3">
        <v>2.0712799999999998</v>
      </c>
      <c r="H9" s="7">
        <v>2.1315599999999999</v>
      </c>
    </row>
    <row r="10" spans="1:11" x14ac:dyDescent="0.2">
      <c r="A10" s="28">
        <v>0.3</v>
      </c>
      <c r="B10" s="38">
        <v>2.2570000000000001</v>
      </c>
      <c r="C10" s="38">
        <v>3.2269999999999999</v>
      </c>
      <c r="D10" s="44">
        <v>3.452</v>
      </c>
      <c r="E10" s="58">
        <v>0.1</v>
      </c>
      <c r="F10" s="3">
        <v>1.7066699999999999</v>
      </c>
      <c r="G10" s="3">
        <v>2.2179600000000002</v>
      </c>
      <c r="H10" s="7">
        <v>2.2950200000000001</v>
      </c>
      <c r="I10" s="55">
        <f>F10/B6 - 1</f>
        <v>-1.9332161687179994E-4</v>
      </c>
      <c r="J10" s="55">
        <f t="shared" ref="J10:K10" si="0">G10/C6 - 1</f>
        <v>4.3301759133962392E-4</v>
      </c>
      <c r="K10" s="55">
        <f t="shared" si="0"/>
        <v>8.809419973832E-4</v>
      </c>
    </row>
    <row r="11" spans="1:11" x14ac:dyDescent="0.2">
      <c r="A11" s="28">
        <v>0.35</v>
      </c>
      <c r="B11" s="38">
        <v>2.3210000000000002</v>
      </c>
      <c r="C11" s="38">
        <v>3.3420000000000001</v>
      </c>
      <c r="D11" s="44">
        <v>3.556</v>
      </c>
      <c r="E11" s="58">
        <v>0.1125</v>
      </c>
      <c r="F11" s="3">
        <v>1.77637</v>
      </c>
      <c r="G11" s="3">
        <v>2.3456899999999998</v>
      </c>
      <c r="H11" s="7">
        <v>2.4411100000000001</v>
      </c>
    </row>
    <row r="12" spans="1:11" x14ac:dyDescent="0.2">
      <c r="A12" s="28">
        <v>0.4</v>
      </c>
      <c r="B12" s="38">
        <v>2.3759999999999999</v>
      </c>
      <c r="C12" s="38">
        <v>3.4430000000000001</v>
      </c>
      <c r="D12" s="44">
        <v>3.6320000000000001</v>
      </c>
      <c r="E12" s="58">
        <v>0.125</v>
      </c>
      <c r="F12" s="3">
        <v>1.83649</v>
      </c>
      <c r="G12" s="3">
        <v>2.4574500000000001</v>
      </c>
      <c r="H12" s="7">
        <v>2.5720299999999998</v>
      </c>
    </row>
    <row r="13" spans="1:11" x14ac:dyDescent="0.2">
      <c r="A13" s="28">
        <v>0.45</v>
      </c>
      <c r="B13" s="38">
        <v>2.4249999999999998</v>
      </c>
      <c r="C13" s="38">
        <v>3.5390000000000001</v>
      </c>
      <c r="D13" s="44">
        <v>3.6880000000000002</v>
      </c>
      <c r="E13" s="58">
        <v>0.13750000000000001</v>
      </c>
      <c r="F13" s="3">
        <v>1.8889400000000001</v>
      </c>
      <c r="G13" s="3">
        <v>2.55565</v>
      </c>
      <c r="H13" s="7">
        <v>2.68919</v>
      </c>
    </row>
    <row r="14" spans="1:11" x14ac:dyDescent="0.2">
      <c r="A14" s="28">
        <v>0.5</v>
      </c>
      <c r="B14" s="38">
        <v>2.4729999999999999</v>
      </c>
      <c r="C14" s="38">
        <v>3.653</v>
      </c>
      <c r="D14" s="44">
        <v>3.718</v>
      </c>
      <c r="E14" s="58">
        <v>0.15</v>
      </c>
      <c r="F14" s="3">
        <v>1.9351799999999999</v>
      </c>
      <c r="G14" s="3">
        <v>2.6423199999999998</v>
      </c>
      <c r="H14" s="7">
        <v>2.79366</v>
      </c>
    </row>
    <row r="15" spans="1:11" x14ac:dyDescent="0.2">
      <c r="A15" s="28">
        <v>0.52500000000000002</v>
      </c>
      <c r="B15" s="38">
        <v>2.5430000000000001</v>
      </c>
      <c r="C15" s="38">
        <v>4.0609999999999999</v>
      </c>
      <c r="D15" s="44">
        <v>3.58</v>
      </c>
      <c r="E15" s="58">
        <v>0.16250000000000001</v>
      </c>
      <c r="F15" s="3">
        <v>1.97631</v>
      </c>
      <c r="G15" s="3">
        <v>2.7192500000000002</v>
      </c>
      <c r="H15" s="7">
        <v>2.8865599999999998</v>
      </c>
    </row>
    <row r="16" spans="1:11" x14ac:dyDescent="0.2">
      <c r="A16" s="28">
        <v>0.55000000000000004</v>
      </c>
      <c r="B16" s="38">
        <v>2.577</v>
      </c>
      <c r="C16" s="38">
        <v>4.1710000000000003</v>
      </c>
      <c r="D16" s="44">
        <v>3.5179999999999998</v>
      </c>
      <c r="E16" s="58">
        <v>0.17499999999999999</v>
      </c>
      <c r="F16" s="3">
        <v>2.0132300000000001</v>
      </c>
      <c r="G16" s="3">
        <v>2.7880099999999999</v>
      </c>
      <c r="H16" s="7">
        <v>2.9691299999999998</v>
      </c>
    </row>
    <row r="17" spans="1:11" x14ac:dyDescent="0.2">
      <c r="A17" s="28">
        <v>0.6</v>
      </c>
      <c r="B17" s="38">
        <v>2.6179999999999999</v>
      </c>
      <c r="C17" s="38">
        <v>4.274</v>
      </c>
      <c r="D17" s="44">
        <v>3.452</v>
      </c>
      <c r="E17" s="58">
        <v>0.1875</v>
      </c>
      <c r="F17" s="3">
        <v>2.0466500000000001</v>
      </c>
      <c r="G17" s="3">
        <v>2.8499300000000001</v>
      </c>
      <c r="H17" s="7">
        <v>3.0426700000000002</v>
      </c>
    </row>
    <row r="18" spans="1:11" x14ac:dyDescent="0.2">
      <c r="A18" s="28">
        <v>0.65</v>
      </c>
      <c r="B18" s="38">
        <v>2.6480000000000001</v>
      </c>
      <c r="C18" s="38">
        <v>4.3380000000000001</v>
      </c>
      <c r="D18" s="44">
        <v>3.41</v>
      </c>
      <c r="E18" s="58">
        <v>0.2</v>
      </c>
      <c r="F18" s="3">
        <v>2.0771199999999999</v>
      </c>
      <c r="G18" s="3">
        <v>2.9061300000000001</v>
      </c>
      <c r="H18" s="7">
        <v>3.1084200000000002</v>
      </c>
      <c r="I18" s="55">
        <f>F18/B8 - 1</f>
        <v>-9.0428090428107399E-4</v>
      </c>
      <c r="J18" s="55">
        <f t="shared" ref="J18:K18" si="1">G18/C8 - 1</f>
        <v>7.3347107438026526E-4</v>
      </c>
      <c r="K18" s="55">
        <f t="shared" si="1"/>
        <v>7.7913715389588134E-4</v>
      </c>
    </row>
    <row r="19" spans="1:11" x14ac:dyDescent="0.2">
      <c r="A19" s="28">
        <v>0.7</v>
      </c>
      <c r="B19" s="38">
        <v>2.6720000000000002</v>
      </c>
      <c r="C19" s="38">
        <v>4.3849999999999998</v>
      </c>
      <c r="D19" s="44">
        <v>3.3780000000000001</v>
      </c>
      <c r="E19" s="58">
        <v>0.21249999999999999</v>
      </c>
      <c r="F19" s="3">
        <v>2.1051000000000002</v>
      </c>
      <c r="G19" s="3">
        <v>2.9575200000000001</v>
      </c>
      <c r="H19" s="7">
        <v>3.1674500000000001</v>
      </c>
    </row>
    <row r="20" spans="1:11" x14ac:dyDescent="0.2">
      <c r="A20" s="28">
        <v>0.75</v>
      </c>
      <c r="B20" s="38">
        <v>2.6920000000000002</v>
      </c>
      <c r="C20" s="38">
        <v>4.423</v>
      </c>
      <c r="D20" s="44">
        <v>3.3530000000000002</v>
      </c>
      <c r="E20" s="58">
        <v>0.22500000000000001</v>
      </c>
      <c r="F20" s="3">
        <v>2.1309399999999998</v>
      </c>
      <c r="G20" s="3">
        <v>3.00481</v>
      </c>
      <c r="H20" s="7">
        <v>3.22072</v>
      </c>
    </row>
    <row r="21" spans="1:11" x14ac:dyDescent="0.2">
      <c r="A21" s="28">
        <v>0.8</v>
      </c>
      <c r="B21" s="38">
        <v>2.71</v>
      </c>
      <c r="C21" s="38">
        <v>4.4550000000000001</v>
      </c>
      <c r="D21" s="44">
        <v>3.3319999999999999</v>
      </c>
      <c r="E21" s="58">
        <v>0.23749999999999999</v>
      </c>
      <c r="F21" s="3">
        <v>2.1549399999999999</v>
      </c>
      <c r="G21" s="3">
        <v>3.0486300000000002</v>
      </c>
      <c r="H21" s="7">
        <v>3.2690199999999998</v>
      </c>
    </row>
    <row r="22" spans="1:11" x14ac:dyDescent="0.2">
      <c r="A22" s="28">
        <v>0.85</v>
      </c>
      <c r="B22" s="38">
        <v>2.726</v>
      </c>
      <c r="C22" s="38">
        <v>4.4829999999999997</v>
      </c>
      <c r="D22" s="44">
        <v>3.3130000000000002</v>
      </c>
      <c r="E22" s="58">
        <v>0.25</v>
      </c>
      <c r="F22" s="3">
        <v>2.1773400000000001</v>
      </c>
      <c r="G22" s="3">
        <v>3.0894400000000002</v>
      </c>
      <c r="H22" s="7">
        <v>3.3129900000000001</v>
      </c>
    </row>
    <row r="23" spans="1:11" x14ac:dyDescent="0.2">
      <c r="A23" s="28">
        <v>0.9</v>
      </c>
      <c r="B23" s="38">
        <v>2.7410000000000001</v>
      </c>
      <c r="C23" s="38">
        <v>4.508</v>
      </c>
      <c r="D23" s="44">
        <v>3.2970000000000002</v>
      </c>
      <c r="E23" s="58">
        <v>0.26250000000000001</v>
      </c>
      <c r="F23" s="3">
        <v>2.19834</v>
      </c>
      <c r="G23" s="3">
        <v>3.1276700000000002</v>
      </c>
      <c r="H23" s="7">
        <v>3.3532000000000002</v>
      </c>
    </row>
    <row r="24" spans="1:11" x14ac:dyDescent="0.2">
      <c r="A24" s="28">
        <v>0.95</v>
      </c>
      <c r="B24" s="38">
        <v>2.7549999999999999</v>
      </c>
      <c r="C24" s="38">
        <v>4.53</v>
      </c>
      <c r="D24" s="44">
        <v>3.2829999999999999</v>
      </c>
      <c r="E24" s="58">
        <v>0.27500000000000002</v>
      </c>
      <c r="F24" s="3">
        <v>2.2181000000000002</v>
      </c>
      <c r="G24" s="3">
        <v>3.16364</v>
      </c>
      <c r="H24" s="7">
        <v>3.3900800000000002</v>
      </c>
    </row>
    <row r="25" spans="1:11" ht="17" thickBot="1" x14ac:dyDescent="0.25">
      <c r="A25" s="29">
        <v>1</v>
      </c>
      <c r="B25" s="40">
        <v>2.7679999999999998</v>
      </c>
      <c r="C25" s="40">
        <v>4.5510000000000002</v>
      </c>
      <c r="D25" s="45">
        <v>3.2690000000000001</v>
      </c>
      <c r="E25" s="58">
        <v>0.28749999999999998</v>
      </c>
      <c r="F25" s="3">
        <v>2.2367699999999999</v>
      </c>
      <c r="G25" s="3">
        <v>3.1976399999999998</v>
      </c>
      <c r="H25" s="7">
        <v>3.4240300000000001</v>
      </c>
    </row>
    <row r="26" spans="1:11" x14ac:dyDescent="0.2">
      <c r="E26" s="58">
        <v>0.3</v>
      </c>
      <c r="F26" s="3">
        <v>2.25447</v>
      </c>
      <c r="G26" s="3">
        <v>3.2299099999999998</v>
      </c>
      <c r="H26" s="7">
        <v>3.4553600000000002</v>
      </c>
      <c r="I26" s="55">
        <f>F26/B10 - 1</f>
        <v>-1.1209570225964027E-3</v>
      </c>
      <c r="J26" s="55">
        <f t="shared" ref="J26:K26" si="2">G26/C10 - 1</f>
        <v>9.0176634645189324E-4</v>
      </c>
      <c r="K26" s="55">
        <f t="shared" si="2"/>
        <v>9.7334878331412078E-4</v>
      </c>
    </row>
    <row r="27" spans="1:11" x14ac:dyDescent="0.2">
      <c r="E27" s="58">
        <v>0.3125</v>
      </c>
      <c r="F27" s="3">
        <v>2.27129</v>
      </c>
      <c r="G27" s="3">
        <v>3.2606600000000001</v>
      </c>
      <c r="H27" s="7">
        <v>3.48434</v>
      </c>
    </row>
    <row r="28" spans="1:11" x14ac:dyDescent="0.2">
      <c r="E28" s="58">
        <v>0.32500000000000001</v>
      </c>
      <c r="F28" s="3">
        <v>2.2873299999999999</v>
      </c>
      <c r="G28" s="3">
        <v>3.2900800000000001</v>
      </c>
      <c r="H28" s="7">
        <v>3.5112000000000001</v>
      </c>
    </row>
    <row r="29" spans="1:11" x14ac:dyDescent="0.2">
      <c r="E29" s="58">
        <v>0.33750000000000002</v>
      </c>
      <c r="F29" s="3">
        <v>2.30267</v>
      </c>
      <c r="G29" s="3">
        <v>3.31833</v>
      </c>
      <c r="H29" s="7">
        <v>3.5361199999999999</v>
      </c>
    </row>
    <row r="30" spans="1:11" x14ac:dyDescent="0.2">
      <c r="E30" s="58">
        <v>0.35</v>
      </c>
      <c r="F30" s="3">
        <v>2.3173699999999999</v>
      </c>
      <c r="G30" s="3">
        <v>3.3455499999999998</v>
      </c>
      <c r="H30" s="7">
        <v>3.5592800000000002</v>
      </c>
    </row>
    <row r="31" spans="1:11" x14ac:dyDescent="0.2">
      <c r="E31" s="58">
        <v>0.36249999999999999</v>
      </c>
      <c r="F31" s="3">
        <v>2.3315100000000002</v>
      </c>
      <c r="G31" s="3">
        <v>3.3718900000000001</v>
      </c>
      <c r="H31" s="7">
        <v>3.5808</v>
      </c>
    </row>
    <row r="32" spans="1:11" x14ac:dyDescent="0.2">
      <c r="E32" s="58">
        <v>0.375</v>
      </c>
      <c r="F32" s="3">
        <v>2.3451300000000002</v>
      </c>
      <c r="G32" s="3">
        <v>3.3974700000000002</v>
      </c>
      <c r="H32" s="7">
        <v>3.6008</v>
      </c>
    </row>
    <row r="33" spans="5:12" x14ac:dyDescent="0.2">
      <c r="E33" s="58">
        <v>0.38750000000000001</v>
      </c>
      <c r="F33" s="3">
        <v>2.3582900000000002</v>
      </c>
      <c r="G33" s="3">
        <v>3.4224199999999998</v>
      </c>
      <c r="H33" s="7">
        <v>3.6193900000000001</v>
      </c>
    </row>
    <row r="34" spans="5:12" x14ac:dyDescent="0.2">
      <c r="E34" s="58">
        <v>0.4</v>
      </c>
      <c r="F34" s="3">
        <v>2.3710399999999998</v>
      </c>
      <c r="G34" s="3">
        <v>3.44686</v>
      </c>
      <c r="H34" s="7">
        <v>3.6366200000000002</v>
      </c>
      <c r="I34" s="55">
        <f>F34/B12 - 1</f>
        <v>-2.087542087542138E-3</v>
      </c>
      <c r="J34" s="55">
        <f t="shared" ref="J34:K34" si="3">G34/C12 - 1</f>
        <v>1.1211153064187851E-3</v>
      </c>
      <c r="K34" s="55">
        <f t="shared" si="3"/>
        <v>1.2720264317180874E-3</v>
      </c>
      <c r="L34" s="42"/>
    </row>
    <row r="35" spans="5:12" x14ac:dyDescent="0.2">
      <c r="E35" s="58">
        <v>0.41249999999999998</v>
      </c>
      <c r="F35" s="3">
        <v>2.3834300000000002</v>
      </c>
      <c r="G35" s="3">
        <v>3.47092</v>
      </c>
      <c r="H35" s="7">
        <v>3.6525500000000002</v>
      </c>
      <c r="K35" s="42"/>
      <c r="L35" s="42"/>
    </row>
    <row r="36" spans="5:12" x14ac:dyDescent="0.2">
      <c r="E36" s="58">
        <v>0.42499999999999999</v>
      </c>
      <c r="F36" s="3">
        <v>2.3955099999999998</v>
      </c>
      <c r="G36" s="3">
        <v>3.4947699999999999</v>
      </c>
      <c r="H36" s="7">
        <v>3.66723</v>
      </c>
      <c r="K36" s="42"/>
      <c r="L36" s="42"/>
    </row>
    <row r="37" spans="5:12" x14ac:dyDescent="0.2">
      <c r="E37" s="58">
        <v>0.4375</v>
      </c>
      <c r="F37" s="3">
        <v>2.40733</v>
      </c>
      <c r="G37" s="3">
        <v>3.5185900000000001</v>
      </c>
      <c r="H37" s="7">
        <v>3.68065</v>
      </c>
      <c r="K37" s="42"/>
      <c r="L37" s="42"/>
    </row>
    <row r="38" spans="5:12" x14ac:dyDescent="0.2">
      <c r="E38" s="58">
        <v>0.45</v>
      </c>
      <c r="F38" s="3">
        <v>2.4189500000000002</v>
      </c>
      <c r="G38" s="3">
        <v>3.54264</v>
      </c>
      <c r="H38" s="7">
        <v>3.69279</v>
      </c>
      <c r="K38" s="42"/>
      <c r="L38" s="42"/>
    </row>
    <row r="39" spans="5:12" x14ac:dyDescent="0.2">
      <c r="E39" s="58">
        <v>0.46250000000000002</v>
      </c>
      <c r="F39" s="3">
        <v>2.4304600000000001</v>
      </c>
      <c r="G39" s="3">
        <v>3.5672799999999998</v>
      </c>
      <c r="H39" s="7">
        <v>3.7035800000000001</v>
      </c>
      <c r="K39" s="42"/>
      <c r="L39" s="42"/>
    </row>
    <row r="40" spans="5:12" x14ac:dyDescent="0.2">
      <c r="E40" s="58">
        <v>0.47499999999999998</v>
      </c>
      <c r="F40" s="3">
        <v>2.44197</v>
      </c>
      <c r="G40" s="3">
        <v>3.5931099999999998</v>
      </c>
      <c r="H40" s="7">
        <v>3.7128199999999998</v>
      </c>
      <c r="K40" s="42"/>
      <c r="L40" s="42"/>
    </row>
    <row r="41" spans="5:12" x14ac:dyDescent="0.2">
      <c r="E41" s="58">
        <v>0.48749999999999999</v>
      </c>
      <c r="F41" s="3">
        <v>2.4536699999999998</v>
      </c>
      <c r="G41" s="3">
        <v>3.62134</v>
      </c>
      <c r="H41" s="7">
        <v>3.7201599999999999</v>
      </c>
      <c r="K41" s="42"/>
      <c r="L41" s="42"/>
    </row>
    <row r="42" spans="5:12" x14ac:dyDescent="0.2">
      <c r="E42" s="58">
        <v>0.5</v>
      </c>
      <c r="F42" s="3">
        <v>2.4659300000000002</v>
      </c>
      <c r="G42" s="3">
        <v>3.6548500000000002</v>
      </c>
      <c r="H42" s="7">
        <v>3.7246700000000001</v>
      </c>
      <c r="I42" s="55">
        <f>F42/B14 - 1</f>
        <v>-2.85887585928013E-3</v>
      </c>
      <c r="J42" s="55">
        <f>G42/C14 - 1</f>
        <v>5.0643306871078764E-4</v>
      </c>
      <c r="K42" s="55">
        <f>H42/D14 - 1</f>
        <v>1.7939752555138355E-3</v>
      </c>
      <c r="L42" s="42"/>
    </row>
    <row r="43" spans="5:12" x14ac:dyDescent="0.2">
      <c r="E43" s="58">
        <v>0.51249999999999996</v>
      </c>
      <c r="F43" s="3">
        <v>2.4799699999999998</v>
      </c>
      <c r="G43" s="3">
        <v>3.7048299999999998</v>
      </c>
      <c r="H43" s="7">
        <v>3.72315</v>
      </c>
      <c r="K43" s="42"/>
      <c r="L43" s="42"/>
    </row>
    <row r="44" spans="5:12" x14ac:dyDescent="0.2">
      <c r="E44" s="58">
        <v>0.52500000000000002</v>
      </c>
      <c r="F44" s="3">
        <v>2.5380699999999998</v>
      </c>
      <c r="G44" s="3">
        <v>4.0779800000000002</v>
      </c>
      <c r="H44" s="7">
        <v>3.5805500000000001</v>
      </c>
      <c r="K44" s="42"/>
      <c r="L44" s="42"/>
    </row>
    <row r="45" spans="5:12" x14ac:dyDescent="0.2">
      <c r="E45" s="58">
        <v>0.53749999999999998</v>
      </c>
      <c r="F45" s="3">
        <v>2.5570900000000001</v>
      </c>
      <c r="G45" s="3">
        <v>4.1430100000000003</v>
      </c>
      <c r="H45" s="7">
        <v>3.5435300000000001</v>
      </c>
      <c r="K45" s="42"/>
      <c r="L45" s="42"/>
    </row>
    <row r="46" spans="5:12" x14ac:dyDescent="0.2">
      <c r="E46" s="58">
        <v>0.55000000000000004</v>
      </c>
      <c r="F46" s="3">
        <v>2.5714999999999999</v>
      </c>
      <c r="G46" s="3">
        <v>4.1856900000000001</v>
      </c>
      <c r="H46" s="7">
        <v>3.5177399999999999</v>
      </c>
      <c r="K46" s="42"/>
      <c r="L46" s="42"/>
    </row>
    <row r="47" spans="5:12" x14ac:dyDescent="0.2">
      <c r="E47" s="58">
        <v>0.5625</v>
      </c>
      <c r="F47" s="3">
        <v>2.58358</v>
      </c>
      <c r="G47" s="3">
        <v>4.2185199999999998</v>
      </c>
      <c r="H47" s="7">
        <v>3.4971999999999999</v>
      </c>
      <c r="K47" s="42"/>
      <c r="L47" s="42"/>
    </row>
    <row r="48" spans="5:12" x14ac:dyDescent="0.2">
      <c r="E48" s="58">
        <v>0.57499999999999996</v>
      </c>
      <c r="F48" s="3">
        <v>2.59416</v>
      </c>
      <c r="G48" s="3">
        <v>4.2455600000000002</v>
      </c>
      <c r="H48" s="7">
        <v>3.4799000000000002</v>
      </c>
      <c r="K48" s="42"/>
      <c r="L48" s="42"/>
    </row>
    <row r="49" spans="5:12" x14ac:dyDescent="0.2">
      <c r="E49" s="58">
        <v>0.58750000000000002</v>
      </c>
      <c r="F49" s="3">
        <v>2.6036700000000002</v>
      </c>
      <c r="G49" s="3">
        <v>4.2687200000000001</v>
      </c>
      <c r="H49" s="7">
        <v>3.4648400000000001</v>
      </c>
      <c r="K49" s="42"/>
      <c r="L49" s="42"/>
    </row>
    <row r="50" spans="5:12" x14ac:dyDescent="0.2">
      <c r="E50" s="58">
        <v>0.6</v>
      </c>
      <c r="F50" s="3">
        <v>2.6123400000000001</v>
      </c>
      <c r="G50" s="3">
        <v>4.2890899999999998</v>
      </c>
      <c r="H50" s="7">
        <v>3.4514499999999999</v>
      </c>
      <c r="I50" s="55">
        <f>F50/B17 - 1</f>
        <v>-2.1619556913673454E-3</v>
      </c>
      <c r="J50" s="55">
        <f t="shared" ref="J50:K50" si="4">G50/C17 - 1</f>
        <v>3.5306504445484777E-3</v>
      </c>
      <c r="K50" s="55">
        <f t="shared" si="4"/>
        <v>-1.5932792584005817E-4</v>
      </c>
      <c r="L50" s="42"/>
    </row>
    <row r="51" spans="5:12" x14ac:dyDescent="0.2">
      <c r="E51" s="58">
        <v>0.61250000000000004</v>
      </c>
      <c r="F51" s="3">
        <v>2.6203400000000001</v>
      </c>
      <c r="G51" s="3">
        <v>4.3073199999999998</v>
      </c>
      <c r="H51" s="7">
        <v>3.4393600000000002</v>
      </c>
      <c r="K51" s="42"/>
      <c r="L51" s="42"/>
    </row>
    <row r="52" spans="5:12" x14ac:dyDescent="0.2">
      <c r="E52" s="58">
        <v>0.625</v>
      </c>
      <c r="F52" s="3">
        <v>2.6278000000000001</v>
      </c>
      <c r="G52" s="3">
        <v>4.3238700000000003</v>
      </c>
      <c r="H52" s="7">
        <v>3.4283199999999998</v>
      </c>
      <c r="K52" s="42"/>
      <c r="L52" s="42"/>
    </row>
    <row r="53" spans="5:12" x14ac:dyDescent="0.2">
      <c r="E53" s="58">
        <v>0.63749999999999996</v>
      </c>
      <c r="F53" s="3">
        <v>2.6347800000000001</v>
      </c>
      <c r="G53" s="3">
        <v>4.3390399999999998</v>
      </c>
      <c r="H53" s="7">
        <v>3.4181599999999999</v>
      </c>
      <c r="K53" s="42"/>
      <c r="L53" s="42"/>
    </row>
    <row r="54" spans="5:12" x14ac:dyDescent="0.2">
      <c r="E54" s="58">
        <v>0.65</v>
      </c>
      <c r="F54" s="3">
        <v>2.6413700000000002</v>
      </c>
      <c r="G54" s="3">
        <v>4.3530899999999999</v>
      </c>
      <c r="H54" s="7">
        <v>3.4087299999999998</v>
      </c>
      <c r="K54" s="42"/>
      <c r="L54" s="42"/>
    </row>
    <row r="55" spans="5:12" x14ac:dyDescent="0.2">
      <c r="E55" s="58">
        <v>0.66249999999999998</v>
      </c>
      <c r="F55" s="3">
        <v>2.6476099999999998</v>
      </c>
      <c r="G55" s="3">
        <v>4.3661700000000003</v>
      </c>
      <c r="H55" s="7">
        <v>3.3999299999999999</v>
      </c>
      <c r="K55" s="42"/>
      <c r="L55" s="42"/>
    </row>
    <row r="56" spans="5:12" x14ac:dyDescent="0.2">
      <c r="E56" s="58">
        <v>0.67500000000000004</v>
      </c>
      <c r="F56" s="3">
        <v>2.6535500000000001</v>
      </c>
      <c r="G56" s="3">
        <v>4.3784200000000002</v>
      </c>
      <c r="H56" s="7">
        <v>3.39168</v>
      </c>
      <c r="K56" s="42"/>
      <c r="L56" s="42"/>
    </row>
    <row r="57" spans="5:12" x14ac:dyDescent="0.2">
      <c r="E57" s="58">
        <v>0.6875</v>
      </c>
      <c r="F57" s="3">
        <v>2.6591999999999998</v>
      </c>
      <c r="G57" s="3">
        <v>4.3899600000000003</v>
      </c>
      <c r="H57" s="7">
        <v>3.3839000000000001</v>
      </c>
      <c r="K57" s="42"/>
      <c r="L57" s="42"/>
    </row>
    <row r="58" spans="5:12" x14ac:dyDescent="0.2">
      <c r="E58" s="58">
        <v>0.7</v>
      </c>
      <c r="F58" s="3">
        <v>2.6646200000000002</v>
      </c>
      <c r="G58" s="3">
        <v>4.4008900000000004</v>
      </c>
      <c r="H58" s="7">
        <v>3.3765399999999999</v>
      </c>
      <c r="I58" s="55">
        <f>F58/B19 - 1</f>
        <v>-2.7619760479041799E-3</v>
      </c>
      <c r="J58" s="55">
        <f t="shared" ref="J58:K58" si="5">G58/C19 - 1</f>
        <v>3.6237172177879806E-3</v>
      </c>
      <c r="K58" s="55">
        <f t="shared" si="5"/>
        <v>-4.322084073417054E-4</v>
      </c>
      <c r="L58" s="42"/>
    </row>
    <row r="59" spans="5:12" x14ac:dyDescent="0.2">
      <c r="E59" s="58">
        <v>0.71250000000000002</v>
      </c>
      <c r="F59" s="3">
        <v>2.66981</v>
      </c>
      <c r="G59" s="3">
        <v>4.4112499999999999</v>
      </c>
      <c r="H59" s="7">
        <v>3.36958</v>
      </c>
      <c r="K59" s="42"/>
      <c r="L59" s="42"/>
    </row>
    <row r="60" spans="5:12" x14ac:dyDescent="0.2">
      <c r="E60" s="58">
        <v>0.72499999999999998</v>
      </c>
      <c r="F60" s="3">
        <v>2.6747999999999998</v>
      </c>
      <c r="G60" s="3">
        <v>4.4211099999999997</v>
      </c>
      <c r="H60" s="7">
        <v>3.3629600000000002</v>
      </c>
      <c r="K60" s="42"/>
      <c r="L60" s="42"/>
    </row>
    <row r="61" spans="5:12" x14ac:dyDescent="0.2">
      <c r="E61" s="58">
        <v>0.73750000000000004</v>
      </c>
      <c r="F61" s="3">
        <v>2.6796099999999998</v>
      </c>
      <c r="G61" s="3">
        <v>4.4305300000000001</v>
      </c>
      <c r="H61" s="7">
        <v>3.3566600000000002</v>
      </c>
      <c r="K61" s="42"/>
      <c r="L61" s="42"/>
    </row>
    <row r="62" spans="5:12" x14ac:dyDescent="0.2">
      <c r="E62" s="58">
        <v>0.75</v>
      </c>
      <c r="F62" s="3">
        <v>2.68424</v>
      </c>
      <c r="G62" s="3">
        <v>4.4395499999999997</v>
      </c>
      <c r="H62" s="7">
        <v>3.3506300000000002</v>
      </c>
      <c r="K62" s="42"/>
      <c r="L62" s="42"/>
    </row>
    <row r="63" spans="5:12" x14ac:dyDescent="0.2">
      <c r="E63" s="58">
        <v>0.76249999999999996</v>
      </c>
      <c r="F63" s="3">
        <v>2.68872</v>
      </c>
      <c r="G63" s="3">
        <v>4.4482100000000004</v>
      </c>
      <c r="H63" s="7">
        <v>3.3448500000000001</v>
      </c>
      <c r="K63" s="42"/>
      <c r="L63" s="42"/>
    </row>
    <row r="64" spans="5:12" x14ac:dyDescent="0.2">
      <c r="E64" s="58">
        <v>0.77500000000000002</v>
      </c>
      <c r="F64" s="3">
        <v>2.69306</v>
      </c>
      <c r="G64" s="3">
        <v>4.4565400000000004</v>
      </c>
      <c r="H64" s="7">
        <v>3.3393199999999998</v>
      </c>
      <c r="K64" s="42"/>
      <c r="L64" s="42"/>
    </row>
    <row r="65" spans="5:12" x14ac:dyDescent="0.2">
      <c r="E65" s="58">
        <v>0.78749999999999998</v>
      </c>
      <c r="F65" s="3">
        <v>2.69726</v>
      </c>
      <c r="G65" s="3">
        <v>4.4645599999999996</v>
      </c>
      <c r="H65" s="7">
        <v>3.3340000000000001</v>
      </c>
      <c r="K65" s="42"/>
      <c r="L65" s="42"/>
    </row>
    <row r="66" spans="5:12" x14ac:dyDescent="0.2">
      <c r="E66" s="58">
        <v>0.8</v>
      </c>
      <c r="F66" s="3">
        <v>2.7013400000000001</v>
      </c>
      <c r="G66" s="3">
        <v>4.4722999999999997</v>
      </c>
      <c r="H66" s="7">
        <v>3.3288799999999998</v>
      </c>
      <c r="I66" s="55">
        <f>F66/B21 - 1</f>
        <v>-3.1955719557195117E-3</v>
      </c>
      <c r="J66" s="55">
        <f t="shared" ref="J66:K66" si="6">G66/C21 - 1</f>
        <v>3.8832772166104146E-3</v>
      </c>
      <c r="K66" s="55">
        <f t="shared" si="6"/>
        <v>-9.3637454981998491E-4</v>
      </c>
      <c r="L66" s="42"/>
    </row>
    <row r="67" spans="5:12" x14ac:dyDescent="0.2">
      <c r="E67" s="58">
        <v>0.8125</v>
      </c>
      <c r="F67" s="3">
        <v>2.7052999999999998</v>
      </c>
      <c r="G67" s="3">
        <v>4.4797799999999999</v>
      </c>
      <c r="H67" s="7">
        <v>3.32395</v>
      </c>
      <c r="K67" s="42"/>
      <c r="L67" s="42"/>
    </row>
    <row r="68" spans="5:12" x14ac:dyDescent="0.2">
      <c r="E68" s="58">
        <v>0.82499999999999996</v>
      </c>
      <c r="F68" s="3">
        <v>2.7091500000000002</v>
      </c>
      <c r="G68" s="3">
        <v>4.4870299999999999</v>
      </c>
      <c r="H68" s="7">
        <v>3.3191799999999998</v>
      </c>
      <c r="K68" s="42"/>
      <c r="L68" s="42"/>
    </row>
    <row r="69" spans="5:12" x14ac:dyDescent="0.2">
      <c r="E69" s="58">
        <v>0.83750000000000002</v>
      </c>
      <c r="F69" s="3">
        <v>2.7128999999999999</v>
      </c>
      <c r="G69" s="3">
        <v>4.4940499999999997</v>
      </c>
      <c r="H69" s="7">
        <v>3.3145799999999999</v>
      </c>
      <c r="K69" s="42"/>
      <c r="L69" s="42"/>
    </row>
    <row r="70" spans="5:12" x14ac:dyDescent="0.2">
      <c r="E70" s="58">
        <v>0.85</v>
      </c>
      <c r="F70" s="3">
        <v>2.7165599999999999</v>
      </c>
      <c r="G70" s="3">
        <v>4.5008600000000003</v>
      </c>
      <c r="H70" s="7">
        <v>3.31013</v>
      </c>
      <c r="K70" s="42"/>
      <c r="L70" s="42"/>
    </row>
    <row r="71" spans="5:12" x14ac:dyDescent="0.2">
      <c r="E71" s="58">
        <v>0.86250000000000004</v>
      </c>
      <c r="F71" s="3">
        <v>2.7201200000000001</v>
      </c>
      <c r="G71" s="3">
        <v>4.5074800000000002</v>
      </c>
      <c r="H71" s="7">
        <v>3.3058200000000002</v>
      </c>
      <c r="K71" s="42"/>
      <c r="L71" s="42"/>
    </row>
    <row r="72" spans="5:12" x14ac:dyDescent="0.2">
      <c r="E72" s="58">
        <v>0.875</v>
      </c>
      <c r="F72" s="3">
        <v>2.7235999999999998</v>
      </c>
      <c r="G72" s="3">
        <v>4.5139199999999997</v>
      </c>
      <c r="H72" s="7">
        <v>3.3016399999999999</v>
      </c>
      <c r="K72" s="42"/>
      <c r="L72" s="42"/>
    </row>
    <row r="73" spans="5:12" x14ac:dyDescent="0.2">
      <c r="E73" s="58">
        <v>0.88749999999999996</v>
      </c>
      <c r="F73" s="3">
        <v>2.7269899999999998</v>
      </c>
      <c r="G73" s="3">
        <v>4.5201900000000004</v>
      </c>
      <c r="H73" s="7">
        <v>3.29758</v>
      </c>
      <c r="K73" s="42"/>
      <c r="L73" s="42"/>
    </row>
    <row r="74" spans="5:12" x14ac:dyDescent="0.2">
      <c r="E74" s="58">
        <v>0.9</v>
      </c>
      <c r="F74" s="3">
        <v>2.7303099999999998</v>
      </c>
      <c r="G74" s="3">
        <v>4.5263</v>
      </c>
      <c r="H74" s="7">
        <v>3.2936399999999999</v>
      </c>
      <c r="I74" s="55">
        <f>F74/B23 - 1</f>
        <v>-3.9000364830354961E-3</v>
      </c>
      <c r="J74" s="55">
        <f t="shared" ref="J74:K74" si="7">G74/C23 - 1</f>
        <v>4.0594498669033197E-3</v>
      </c>
      <c r="K74" s="55">
        <f t="shared" si="7"/>
        <v>-1.0191082802548657E-3</v>
      </c>
      <c r="L74" s="42"/>
    </row>
    <row r="75" spans="5:12" x14ac:dyDescent="0.2">
      <c r="E75" s="58">
        <v>0.91249999999999998</v>
      </c>
      <c r="F75" s="3">
        <v>2.7335600000000002</v>
      </c>
      <c r="G75" s="3">
        <v>4.53226</v>
      </c>
      <c r="H75" s="7">
        <v>3.2898100000000001</v>
      </c>
      <c r="K75" s="42"/>
      <c r="L75" s="42"/>
    </row>
    <row r="76" spans="5:12" x14ac:dyDescent="0.2">
      <c r="E76" s="58">
        <v>0.92500000000000004</v>
      </c>
      <c r="F76" s="3">
        <v>2.7367400000000002</v>
      </c>
      <c r="G76" s="3">
        <v>4.5380700000000003</v>
      </c>
      <c r="H76" s="7">
        <v>3.2860800000000001</v>
      </c>
      <c r="K76" s="42"/>
      <c r="L76" s="42"/>
    </row>
    <row r="77" spans="5:12" x14ac:dyDescent="0.2">
      <c r="E77" s="58">
        <v>0.9375</v>
      </c>
      <c r="F77" s="3">
        <v>2.7398500000000001</v>
      </c>
      <c r="G77" s="3">
        <v>4.5437500000000002</v>
      </c>
      <c r="H77" s="7">
        <v>3.2824399999999998</v>
      </c>
      <c r="K77" s="42"/>
      <c r="L77" s="42"/>
    </row>
    <row r="78" spans="5:12" x14ac:dyDescent="0.2">
      <c r="E78" s="58">
        <v>0.95</v>
      </c>
      <c r="F78" s="3">
        <v>2.7429000000000001</v>
      </c>
      <c r="G78" s="3">
        <v>4.5493100000000002</v>
      </c>
      <c r="H78" s="7">
        <v>3.2789000000000001</v>
      </c>
      <c r="K78" s="42"/>
      <c r="L78" s="42"/>
    </row>
    <row r="79" spans="5:12" x14ac:dyDescent="0.2">
      <c r="E79" s="58">
        <v>0.96250000000000002</v>
      </c>
      <c r="F79" s="3">
        <v>2.7458900000000002</v>
      </c>
      <c r="G79" s="3">
        <v>4.5547399999999998</v>
      </c>
      <c r="H79" s="7">
        <v>3.2754400000000001</v>
      </c>
      <c r="K79" s="42"/>
      <c r="L79" s="42"/>
    </row>
    <row r="80" spans="5:12" x14ac:dyDescent="0.2">
      <c r="E80" s="58">
        <v>0.97499999999999998</v>
      </c>
      <c r="F80" s="3">
        <v>2.7488199999999998</v>
      </c>
      <c r="G80" s="3">
        <v>4.56006</v>
      </c>
      <c r="H80" s="7">
        <v>3.2720699999999998</v>
      </c>
      <c r="K80" s="42"/>
      <c r="L80" s="42"/>
    </row>
    <row r="81" spans="5:12" x14ac:dyDescent="0.2">
      <c r="E81" s="58">
        <v>0.98750000000000004</v>
      </c>
      <c r="F81" s="3">
        <v>2.7517</v>
      </c>
      <c r="G81" s="3">
        <v>4.5652600000000003</v>
      </c>
      <c r="H81" s="7">
        <v>3.26877</v>
      </c>
      <c r="K81" s="42"/>
      <c r="L81" s="42"/>
    </row>
    <row r="82" spans="5:12" ht="17" thickBot="1" x14ac:dyDescent="0.25">
      <c r="E82" s="59">
        <v>1</v>
      </c>
      <c r="F82" s="6">
        <v>2.7545199999999999</v>
      </c>
      <c r="G82" s="6">
        <v>4.5703699999999996</v>
      </c>
      <c r="H82" s="8">
        <v>3.2655500000000002</v>
      </c>
      <c r="I82" s="55">
        <f>F82/B25 - 1</f>
        <v>-4.8699421965318068E-3</v>
      </c>
      <c r="J82" s="55">
        <f>G82/C25 - 1</f>
        <v>4.256207426938996E-3</v>
      </c>
      <c r="K82" s="55">
        <f>H82/D25 - 1</f>
        <v>-1.0553686142551477E-3</v>
      </c>
      <c r="L82" s="42"/>
    </row>
    <row r="83" spans="5:12" x14ac:dyDescent="0.2">
      <c r="L83" s="42"/>
    </row>
    <row r="84" spans="5:12" x14ac:dyDescent="0.2">
      <c r="L84" s="42"/>
    </row>
    <row r="85" spans="5:12" x14ac:dyDescent="0.2">
      <c r="L85" s="42"/>
    </row>
    <row r="86" spans="5:12" x14ac:dyDescent="0.2">
      <c r="L86" s="42"/>
    </row>
    <row r="87" spans="5:12" x14ac:dyDescent="0.2">
      <c r="L87" s="42"/>
    </row>
    <row r="88" spans="5:12" x14ac:dyDescent="0.2">
      <c r="L88" s="42"/>
    </row>
    <row r="89" spans="5:12" x14ac:dyDescent="0.2">
      <c r="L89" s="42"/>
    </row>
    <row r="90" spans="5:12" x14ac:dyDescent="0.2">
      <c r="L90" s="42"/>
    </row>
    <row r="91" spans="5:12" x14ac:dyDescent="0.2">
      <c r="L91" s="42"/>
    </row>
    <row r="92" spans="5:12" x14ac:dyDescent="0.2">
      <c r="L92" s="42"/>
    </row>
    <row r="93" spans="5:12" x14ac:dyDescent="0.2">
      <c r="L93" s="42"/>
    </row>
    <row r="94" spans="5:12" x14ac:dyDescent="0.2">
      <c r="L94" s="42"/>
    </row>
    <row r="95" spans="5:12" x14ac:dyDescent="0.2">
      <c r="L95" s="42"/>
    </row>
    <row r="96" spans="5:12" x14ac:dyDescent="0.2">
      <c r="L96" s="42"/>
    </row>
    <row r="97" spans="12:12" x14ac:dyDescent="0.2">
      <c r="L97" s="42"/>
    </row>
    <row r="98" spans="12:12" x14ac:dyDescent="0.2">
      <c r="L98" s="42"/>
    </row>
    <row r="99" spans="12:12" x14ac:dyDescent="0.2">
      <c r="L99" s="42"/>
    </row>
    <row r="100" spans="12:12" x14ac:dyDescent="0.2">
      <c r="L100" s="42"/>
    </row>
    <row r="101" spans="12:12" x14ac:dyDescent="0.2">
      <c r="L101" s="42"/>
    </row>
    <row r="102" spans="12:12" x14ac:dyDescent="0.2">
      <c r="L102" s="42"/>
    </row>
    <row r="103" spans="12:12" x14ac:dyDescent="0.2">
      <c r="L103" s="42"/>
    </row>
    <row r="104" spans="12:12" x14ac:dyDescent="0.2">
      <c r="L104" s="42"/>
    </row>
    <row r="105" spans="12:12" x14ac:dyDescent="0.2">
      <c r="L105" s="42"/>
    </row>
    <row r="106" spans="12:12" x14ac:dyDescent="0.2">
      <c r="L106" s="42"/>
    </row>
    <row r="107" spans="12:12" x14ac:dyDescent="0.2">
      <c r="L107" s="42"/>
    </row>
    <row r="108" spans="12:12" x14ac:dyDescent="0.2">
      <c r="L108" s="42"/>
    </row>
    <row r="109" spans="12:12" x14ac:dyDescent="0.2">
      <c r="L109" s="42"/>
    </row>
    <row r="110" spans="12:12" x14ac:dyDescent="0.2">
      <c r="L110" s="42"/>
    </row>
    <row r="111" spans="12:12" x14ac:dyDescent="0.2">
      <c r="L111" s="42"/>
    </row>
    <row r="112" spans="12:12" x14ac:dyDescent="0.2">
      <c r="L112" s="42"/>
    </row>
    <row r="113" spans="12:12" x14ac:dyDescent="0.2">
      <c r="L113" s="42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8BEED-0519-AA41-824C-4FA0072974A1}">
  <dimension ref="A1:K135"/>
  <sheetViews>
    <sheetView tabSelected="1" zoomScaleNormal="100" workbookViewId="0">
      <selection activeCell="Q33" sqref="Q33"/>
    </sheetView>
  </sheetViews>
  <sheetFormatPr baseColWidth="10" defaultRowHeight="16" x14ac:dyDescent="0.2"/>
  <cols>
    <col min="7" max="7" width="10.83203125" customWidth="1"/>
    <col min="8" max="9" width="10.6640625" customWidth="1"/>
    <col min="10" max="11" width="10.83203125" customWidth="1"/>
  </cols>
  <sheetData>
    <row r="1" spans="1:9" ht="17" thickBot="1" x14ac:dyDescent="0.25">
      <c r="A1" s="20" t="s">
        <v>14</v>
      </c>
      <c r="B1" s="21" t="s">
        <v>15</v>
      </c>
      <c r="C1" s="22" t="s">
        <v>20</v>
      </c>
      <c r="D1" s="49" t="s">
        <v>44</v>
      </c>
      <c r="E1" s="50" t="s">
        <v>45</v>
      </c>
      <c r="F1" s="65" t="s">
        <v>43</v>
      </c>
      <c r="G1" s="62" t="s">
        <v>40</v>
      </c>
      <c r="H1" s="63" t="s">
        <v>41</v>
      </c>
      <c r="I1" s="64" t="s">
        <v>42</v>
      </c>
    </row>
    <row r="2" spans="1:9" x14ac:dyDescent="0.2">
      <c r="A2" s="31">
        <v>0</v>
      </c>
      <c r="B2" s="36">
        <v>0</v>
      </c>
      <c r="C2" s="43">
        <v>0</v>
      </c>
      <c r="D2" s="69">
        <v>0</v>
      </c>
      <c r="E2" s="70">
        <v>0</v>
      </c>
      <c r="F2" s="71">
        <v>0</v>
      </c>
      <c r="G2" s="31">
        <v>0</v>
      </c>
      <c r="H2" s="36">
        <v>0</v>
      </c>
      <c r="I2" s="37">
        <v>0</v>
      </c>
    </row>
    <row r="3" spans="1:9" x14ac:dyDescent="0.2">
      <c r="A3" s="28">
        <v>0.05</v>
      </c>
      <c r="B3" s="38">
        <v>9.5609999999999999</v>
      </c>
      <c r="C3" s="44">
        <v>-0.23300000000000001</v>
      </c>
      <c r="D3" s="72">
        <v>3.4569900000000001E-2</v>
      </c>
      <c r="E3" s="68">
        <v>6.3232900000000001</v>
      </c>
      <c r="F3" s="73">
        <v>-6.6787399999999997E-2</v>
      </c>
      <c r="G3" s="28">
        <v>1.1301200000000001E-2</v>
      </c>
      <c r="H3" s="38">
        <f>H2+1</f>
        <v>1</v>
      </c>
      <c r="I3" s="39">
        <v>-1.46384E-4</v>
      </c>
    </row>
    <row r="4" spans="1:9" x14ac:dyDescent="0.2">
      <c r="A4" s="28">
        <v>7.4999999999999997E-2</v>
      </c>
      <c r="B4" s="38">
        <v>15.648</v>
      </c>
      <c r="C4" s="44">
        <v>-0.92200000000000004</v>
      </c>
      <c r="D4" s="72">
        <v>5.3159900000000003E-2</v>
      </c>
      <c r="E4" s="68">
        <v>10.3103</v>
      </c>
      <c r="F4" s="73">
        <v>-0.28906900000000002</v>
      </c>
      <c r="G4" s="28">
        <v>1.7248400000000001E-2</v>
      </c>
      <c r="H4" s="38">
        <f t="shared" ref="H4:H67" si="0">H3+1</f>
        <v>2</v>
      </c>
      <c r="I4" s="39">
        <v>7.1569699999999995E-4</v>
      </c>
    </row>
    <row r="5" spans="1:9" x14ac:dyDescent="0.2">
      <c r="A5" s="28">
        <v>0.1</v>
      </c>
      <c r="B5" s="38">
        <v>23.164000000000001</v>
      </c>
      <c r="C5" s="44">
        <v>-2.391</v>
      </c>
      <c r="D5" s="72">
        <v>6.69265E-2</v>
      </c>
      <c r="E5" s="68">
        <v>13.6159</v>
      </c>
      <c r="F5" s="73">
        <v>-0.63312999999999997</v>
      </c>
      <c r="G5" s="28">
        <v>2.1168200000000002E-2</v>
      </c>
      <c r="H5" s="38">
        <f t="shared" si="0"/>
        <v>3</v>
      </c>
      <c r="I5" s="39">
        <v>-2.5374099999999999E-3</v>
      </c>
    </row>
    <row r="6" spans="1:9" x14ac:dyDescent="0.2">
      <c r="A6" s="28">
        <v>0.125</v>
      </c>
      <c r="B6" s="38">
        <v>29.375</v>
      </c>
      <c r="C6" s="44">
        <v>-3.8719999999999999</v>
      </c>
      <c r="D6" s="72">
        <v>7.6986799999999994E-2</v>
      </c>
      <c r="E6" s="68">
        <v>16.591999999999999</v>
      </c>
      <c r="F6" s="73">
        <v>-1.0660000000000001</v>
      </c>
      <c r="G6" s="28">
        <v>2.4888E-2</v>
      </c>
      <c r="H6" s="38">
        <f t="shared" si="0"/>
        <v>4</v>
      </c>
      <c r="I6" s="39">
        <v>-1.24739E-2</v>
      </c>
    </row>
    <row r="7" spans="1:9" x14ac:dyDescent="0.2">
      <c r="A7" s="28">
        <v>0.15</v>
      </c>
      <c r="B7" s="38">
        <v>36.207999999999998</v>
      </c>
      <c r="C7" s="44">
        <v>-2.1539999999999999</v>
      </c>
      <c r="D7" s="72">
        <v>8.5784399999999997E-2</v>
      </c>
      <c r="E7" s="68">
        <v>19.386299999999999</v>
      </c>
      <c r="F7" s="73">
        <v>-1.5571299999999999</v>
      </c>
      <c r="G7" s="28">
        <v>2.8873699999999999E-2</v>
      </c>
      <c r="H7" s="38">
        <f t="shared" si="0"/>
        <v>5</v>
      </c>
      <c r="I7" s="39">
        <v>-3.0209900000000001E-2</v>
      </c>
    </row>
    <row r="8" spans="1:9" x14ac:dyDescent="0.2">
      <c r="A8" s="28">
        <v>0.17499999999999999</v>
      </c>
      <c r="B8" s="38">
        <v>51.499000000000002</v>
      </c>
      <c r="C8" s="44">
        <v>6.7919999999999998</v>
      </c>
      <c r="D8" s="72">
        <v>9.4295900000000002E-2</v>
      </c>
      <c r="E8" s="68">
        <v>22.063800000000001</v>
      </c>
      <c r="F8" s="73">
        <v>-2.0966900000000002</v>
      </c>
      <c r="G8" s="28">
        <v>3.3144800000000002E-2</v>
      </c>
      <c r="H8" s="38">
        <f t="shared" si="0"/>
        <v>6</v>
      </c>
      <c r="I8" s="39">
        <v>-5.6560699999999998E-2</v>
      </c>
    </row>
    <row r="9" spans="1:9" x14ac:dyDescent="0.2">
      <c r="A9" s="28">
        <v>0.2</v>
      </c>
      <c r="B9" s="38">
        <v>56.372999999999998</v>
      </c>
      <c r="C9" s="44">
        <v>10.448</v>
      </c>
      <c r="D9" s="72">
        <v>0.103113</v>
      </c>
      <c r="E9" s="68">
        <v>24.663499999999999</v>
      </c>
      <c r="F9" s="73">
        <v>-2.6799499999999998</v>
      </c>
      <c r="G9" s="28">
        <v>3.7638699999999997E-2</v>
      </c>
      <c r="H9" s="38">
        <f t="shared" si="0"/>
        <v>7</v>
      </c>
      <c r="I9" s="39">
        <v>-9.2342999999999995E-2</v>
      </c>
    </row>
    <row r="10" spans="1:9" x14ac:dyDescent="0.2">
      <c r="A10" s="28">
        <v>0.25</v>
      </c>
      <c r="B10" s="38">
        <v>61.877000000000002</v>
      </c>
      <c r="C10" s="44">
        <v>14.904999999999999</v>
      </c>
      <c r="D10" s="72">
        <v>0.112609</v>
      </c>
      <c r="E10" s="68">
        <v>27.211300000000001</v>
      </c>
      <c r="F10" s="73">
        <v>-3.2786</v>
      </c>
      <c r="G10" s="28">
        <v>4.2286799999999999E-2</v>
      </c>
      <c r="H10" s="38">
        <f t="shared" si="0"/>
        <v>8</v>
      </c>
      <c r="I10" s="39">
        <v>-0.13841800000000001</v>
      </c>
    </row>
    <row r="11" spans="1:9" x14ac:dyDescent="0.2">
      <c r="A11" s="28">
        <v>0.3</v>
      </c>
      <c r="B11" s="38">
        <v>65.498000000000005</v>
      </c>
      <c r="C11" s="44">
        <v>17.978999999999999</v>
      </c>
      <c r="D11" s="72">
        <v>0.122808</v>
      </c>
      <c r="E11" s="68">
        <v>29.709800000000001</v>
      </c>
      <c r="F11" s="73">
        <v>-3.62452</v>
      </c>
      <c r="G11" s="28">
        <v>4.7015000000000001E-2</v>
      </c>
      <c r="H11" s="38">
        <f t="shared" si="0"/>
        <v>9</v>
      </c>
      <c r="I11" s="39">
        <v>-0.19572000000000001</v>
      </c>
    </row>
    <row r="12" spans="1:9" x14ac:dyDescent="0.2">
      <c r="A12" s="28">
        <v>0.35</v>
      </c>
      <c r="B12" s="38">
        <v>68.228999999999999</v>
      </c>
      <c r="C12" s="44">
        <v>20.364999999999998</v>
      </c>
      <c r="D12" s="72">
        <v>0.13225500000000001</v>
      </c>
      <c r="E12" s="68">
        <v>32.1083</v>
      </c>
      <c r="F12" s="73">
        <v>-3.3228399999999998</v>
      </c>
      <c r="G12" s="28">
        <v>5.17308E-2</v>
      </c>
      <c r="H12" s="38">
        <f t="shared" si="0"/>
        <v>10</v>
      </c>
      <c r="I12" s="39">
        <v>-0.26529399999999997</v>
      </c>
    </row>
    <row r="13" spans="1:9" x14ac:dyDescent="0.2">
      <c r="A13" s="28">
        <v>0.4</v>
      </c>
      <c r="B13" s="38">
        <v>70.424000000000007</v>
      </c>
      <c r="C13" s="44">
        <v>22.321000000000002</v>
      </c>
      <c r="D13" s="72">
        <v>0.139263</v>
      </c>
      <c r="E13" s="68">
        <v>34.3857</v>
      </c>
      <c r="F13" s="73">
        <v>-2.6262699999999999</v>
      </c>
      <c r="G13" s="28">
        <v>5.63139E-2</v>
      </c>
      <c r="H13" s="38">
        <f t="shared" si="0"/>
        <v>11</v>
      </c>
      <c r="I13" s="39">
        <v>-0.34828599999999998</v>
      </c>
    </row>
    <row r="14" spans="1:9" x14ac:dyDescent="0.2">
      <c r="A14" s="28">
        <v>0.45</v>
      </c>
      <c r="B14" s="38">
        <v>72.203999999999994</v>
      </c>
      <c r="C14" s="44">
        <v>23.916</v>
      </c>
      <c r="D14" s="72">
        <v>0.14377899999999999</v>
      </c>
      <c r="E14" s="68">
        <v>36.570500000000003</v>
      </c>
      <c r="F14" s="73">
        <v>-1.7454499999999999</v>
      </c>
      <c r="G14" s="28">
        <v>6.0636700000000002E-2</v>
      </c>
      <c r="H14" s="38">
        <f t="shared" si="0"/>
        <v>12</v>
      </c>
      <c r="I14" s="39">
        <v>-0.445689</v>
      </c>
    </row>
    <row r="15" spans="1:9" x14ac:dyDescent="0.2">
      <c r="A15" s="28">
        <v>0.5</v>
      </c>
      <c r="B15" s="38">
        <v>73.790000000000006</v>
      </c>
      <c r="C15" s="44">
        <v>25.381</v>
      </c>
      <c r="D15" s="72">
        <v>0.14640500000000001</v>
      </c>
      <c r="E15" s="68">
        <v>38.686799999999998</v>
      </c>
      <c r="F15" s="73">
        <v>-0.75644500000000003</v>
      </c>
      <c r="G15" s="28">
        <v>6.4624600000000004E-2</v>
      </c>
      <c r="H15" s="38">
        <f t="shared" si="0"/>
        <v>13</v>
      </c>
      <c r="I15" s="39">
        <v>-0.55777900000000002</v>
      </c>
    </row>
    <row r="16" spans="1:9" x14ac:dyDescent="0.2">
      <c r="A16" s="28">
        <v>0.55000000000000004</v>
      </c>
      <c r="B16" s="38">
        <v>75.138999999999996</v>
      </c>
      <c r="C16" s="44">
        <v>26.631</v>
      </c>
      <c r="D16" s="72">
        <v>0.147948</v>
      </c>
      <c r="E16" s="68">
        <v>40.751899999999999</v>
      </c>
      <c r="F16" s="73">
        <v>0.31023699999999999</v>
      </c>
      <c r="G16" s="28">
        <v>6.8301899999999999E-2</v>
      </c>
      <c r="H16" s="38">
        <f t="shared" si="0"/>
        <v>14</v>
      </c>
      <c r="I16" s="39">
        <v>-0.68379000000000001</v>
      </c>
    </row>
    <row r="17" spans="1:9" x14ac:dyDescent="0.2">
      <c r="A17" s="28">
        <v>0.6</v>
      </c>
      <c r="B17" s="38">
        <v>76.331000000000003</v>
      </c>
      <c r="C17" s="44">
        <v>27.734999999999999</v>
      </c>
      <c r="D17" s="72">
        <v>0.149142</v>
      </c>
      <c r="E17" s="68">
        <v>42.778399999999998</v>
      </c>
      <c r="F17" s="73">
        <v>1.4413800000000001</v>
      </c>
      <c r="G17" s="28">
        <v>7.1752099999999999E-2</v>
      </c>
      <c r="H17" s="38">
        <f t="shared" si="0"/>
        <v>15</v>
      </c>
      <c r="I17" s="39">
        <v>-0.82241900000000001</v>
      </c>
    </row>
    <row r="18" spans="1:9" x14ac:dyDescent="0.2">
      <c r="A18" s="28">
        <v>0.65</v>
      </c>
      <c r="B18" s="38">
        <v>77.471999999999994</v>
      </c>
      <c r="C18" s="44">
        <v>28.843</v>
      </c>
      <c r="D18" s="72">
        <v>0.15060699999999999</v>
      </c>
      <c r="E18" s="68">
        <v>44.775700000000001</v>
      </c>
      <c r="F18" s="73">
        <v>2.6315599999999999</v>
      </c>
      <c r="G18" s="28">
        <v>7.5054200000000001E-2</v>
      </c>
      <c r="H18" s="38">
        <f t="shared" si="0"/>
        <v>16</v>
      </c>
      <c r="I18" s="39">
        <v>-0.97249699999999994</v>
      </c>
    </row>
    <row r="19" spans="1:9" x14ac:dyDescent="0.2">
      <c r="A19" s="28">
        <v>0.7</v>
      </c>
      <c r="B19" s="38">
        <v>78.450999999999993</v>
      </c>
      <c r="C19" s="44">
        <v>29.771999999999998</v>
      </c>
      <c r="D19" s="72">
        <v>0.152896</v>
      </c>
      <c r="E19" s="68">
        <v>46.7517</v>
      </c>
      <c r="F19" s="73">
        <v>3.8787400000000001</v>
      </c>
      <c r="G19" s="28">
        <v>7.8262600000000002E-2</v>
      </c>
      <c r="H19" s="38">
        <f t="shared" si="0"/>
        <v>17</v>
      </c>
      <c r="I19" s="39">
        <v>-1.1331899999999999</v>
      </c>
    </row>
    <row r="20" spans="1:9" x14ac:dyDescent="0.2">
      <c r="A20" s="28">
        <v>0.75</v>
      </c>
      <c r="B20" s="38">
        <v>79.338999999999999</v>
      </c>
      <c r="C20" s="44">
        <v>30.603999999999999</v>
      </c>
      <c r="D20" s="72">
        <v>0.15640599999999999</v>
      </c>
      <c r="E20" s="68">
        <v>48.7119</v>
      </c>
      <c r="F20" s="73">
        <v>5.18255</v>
      </c>
      <c r="G20" s="28">
        <v>8.1414700000000007E-2</v>
      </c>
      <c r="H20" s="38">
        <f t="shared" si="0"/>
        <v>18</v>
      </c>
      <c r="I20" s="39">
        <v>-1.30393</v>
      </c>
    </row>
    <row r="21" spans="1:9" x14ac:dyDescent="0.2">
      <c r="A21" s="28">
        <v>0.8</v>
      </c>
      <c r="B21" s="38">
        <v>80.218000000000004</v>
      </c>
      <c r="C21" s="44">
        <v>31.471</v>
      </c>
      <c r="D21" s="72">
        <v>0.161464</v>
      </c>
      <c r="E21" s="68">
        <v>50.660899999999998</v>
      </c>
      <c r="F21" s="73">
        <v>6.54237</v>
      </c>
      <c r="G21" s="28">
        <v>8.4540900000000002E-2</v>
      </c>
      <c r="H21" s="38">
        <f t="shared" si="0"/>
        <v>19</v>
      </c>
      <c r="I21" s="39">
        <v>-1.48431</v>
      </c>
    </row>
    <row r="22" spans="1:9" x14ac:dyDescent="0.2">
      <c r="A22" s="28">
        <v>0.85</v>
      </c>
      <c r="B22" s="38">
        <v>81.045000000000002</v>
      </c>
      <c r="C22" s="44">
        <v>32.298999999999999</v>
      </c>
      <c r="D22" s="72">
        <v>0.16832800000000001</v>
      </c>
      <c r="E22" s="68">
        <v>52.601799999999997</v>
      </c>
      <c r="F22" s="73">
        <v>7.9564199999999996</v>
      </c>
      <c r="G22" s="28">
        <v>8.7669399999999995E-2</v>
      </c>
      <c r="H22" s="38">
        <f t="shared" si="0"/>
        <v>20</v>
      </c>
      <c r="I22" s="39">
        <v>-1.67401</v>
      </c>
    </row>
    <row r="23" spans="1:9" x14ac:dyDescent="0.2">
      <c r="A23" s="28">
        <v>0.9</v>
      </c>
      <c r="B23" s="38">
        <v>81.766000000000005</v>
      </c>
      <c r="C23" s="44">
        <v>32.988999999999997</v>
      </c>
      <c r="D23" s="72">
        <v>0.17721999999999999</v>
      </c>
      <c r="E23" s="68">
        <v>54.5366</v>
      </c>
      <c r="F23" s="73">
        <v>9.4212500000000006</v>
      </c>
      <c r="G23" s="28">
        <v>9.0827500000000005E-2</v>
      </c>
      <c r="H23" s="38">
        <f t="shared" si="0"/>
        <v>21</v>
      </c>
      <c r="I23" s="39">
        <v>-1.8728100000000001</v>
      </c>
    </row>
    <row r="24" spans="1:9" x14ac:dyDescent="0.2">
      <c r="A24" s="28">
        <v>0.95</v>
      </c>
      <c r="B24" s="38">
        <v>82.435000000000002</v>
      </c>
      <c r="C24" s="44">
        <v>33.619</v>
      </c>
      <c r="D24" s="72">
        <v>0.18823300000000001</v>
      </c>
      <c r="E24" s="68">
        <v>56.466099999999997</v>
      </c>
      <c r="F24" s="73">
        <v>10.9331</v>
      </c>
      <c r="G24" s="28">
        <v>9.4042000000000001E-2</v>
      </c>
      <c r="H24" s="38">
        <f t="shared" si="0"/>
        <v>22</v>
      </c>
      <c r="I24" s="39">
        <v>-2.08046</v>
      </c>
    </row>
    <row r="25" spans="1:9" ht="17" thickBot="1" x14ac:dyDescent="0.25">
      <c r="A25" s="29">
        <v>1</v>
      </c>
      <c r="B25" s="40">
        <v>83.102000000000004</v>
      </c>
      <c r="C25" s="45">
        <v>34.271999999999998</v>
      </c>
      <c r="D25" s="72">
        <v>0.19819000000000001</v>
      </c>
      <c r="E25" s="68">
        <v>57.902200000000001</v>
      </c>
      <c r="F25" s="73">
        <v>12.0846</v>
      </c>
      <c r="G25" s="28">
        <v>9.7337499999999993E-2</v>
      </c>
      <c r="H25" s="38">
        <f t="shared" si="0"/>
        <v>23</v>
      </c>
      <c r="I25" s="39">
        <v>-2.2966299999999999</v>
      </c>
    </row>
    <row r="26" spans="1:9" x14ac:dyDescent="0.2">
      <c r="D26" s="72">
        <v>0.20962900000000001</v>
      </c>
      <c r="E26" s="68">
        <v>59.3367</v>
      </c>
      <c r="F26" s="73">
        <v>13.256600000000001</v>
      </c>
      <c r="G26" s="28">
        <v>0.10073600000000001</v>
      </c>
      <c r="H26" s="38">
        <f t="shared" si="0"/>
        <v>24</v>
      </c>
      <c r="I26" s="39">
        <v>-2.5207799999999998</v>
      </c>
    </row>
    <row r="27" spans="1:9" x14ac:dyDescent="0.2">
      <c r="D27" s="72">
        <v>0.22266900000000001</v>
      </c>
      <c r="E27" s="68">
        <v>60.769599999999997</v>
      </c>
      <c r="F27" s="73">
        <v>14.447100000000001</v>
      </c>
      <c r="G27" s="28">
        <v>0.104256</v>
      </c>
      <c r="H27" s="38">
        <f t="shared" si="0"/>
        <v>25</v>
      </c>
      <c r="I27" s="39">
        <v>-2.7517200000000002</v>
      </c>
    </row>
    <row r="28" spans="1:9" x14ac:dyDescent="0.2">
      <c r="D28" s="72">
        <v>0.23372200000000001</v>
      </c>
      <c r="E28" s="68">
        <v>61.838700000000003</v>
      </c>
      <c r="F28" s="73">
        <v>15.3444</v>
      </c>
      <c r="G28" s="28">
        <v>0.10791000000000001</v>
      </c>
      <c r="H28" s="38">
        <f t="shared" si="0"/>
        <v>26</v>
      </c>
      <c r="I28" s="39">
        <v>-2.9866000000000001</v>
      </c>
    </row>
    <row r="29" spans="1:9" x14ac:dyDescent="0.2">
      <c r="D29" s="72">
        <v>0.24596399999999999</v>
      </c>
      <c r="E29" s="68">
        <v>62.907800000000002</v>
      </c>
      <c r="F29" s="73">
        <v>16.249700000000001</v>
      </c>
      <c r="G29" s="28">
        <v>0.111711</v>
      </c>
      <c r="H29" s="38">
        <f t="shared" si="0"/>
        <v>27</v>
      </c>
      <c r="I29" s="39">
        <v>-3.2176800000000001</v>
      </c>
    </row>
    <row r="30" spans="1:9" x14ac:dyDescent="0.2">
      <c r="D30" s="72">
        <v>0.25929999999999997</v>
      </c>
      <c r="E30" s="68">
        <v>63.975499999999997</v>
      </c>
      <c r="F30" s="73">
        <v>17.164100000000001</v>
      </c>
      <c r="G30" s="28">
        <v>0.115663</v>
      </c>
      <c r="H30" s="38">
        <f t="shared" si="0"/>
        <v>28</v>
      </c>
      <c r="I30" s="39">
        <v>-3.4245000000000001</v>
      </c>
    </row>
    <row r="31" spans="1:9" x14ac:dyDescent="0.2">
      <c r="D31" s="72">
        <v>0.27027699999999999</v>
      </c>
      <c r="E31" s="68">
        <v>64.773499999999999</v>
      </c>
      <c r="F31" s="73">
        <v>17.8507</v>
      </c>
      <c r="G31" s="28">
        <v>0.119752</v>
      </c>
      <c r="H31" s="38">
        <f t="shared" si="0"/>
        <v>29</v>
      </c>
      <c r="I31" s="39">
        <v>-3.56582</v>
      </c>
    </row>
    <row r="32" spans="1:9" x14ac:dyDescent="0.2">
      <c r="D32" s="72">
        <v>0.28211799999999998</v>
      </c>
      <c r="E32" s="68">
        <v>65.571299999999994</v>
      </c>
      <c r="F32" s="73">
        <v>18.540800000000001</v>
      </c>
      <c r="G32" s="28">
        <v>0.123893</v>
      </c>
      <c r="H32" s="38">
        <f t="shared" si="0"/>
        <v>30</v>
      </c>
      <c r="I32" s="39">
        <v>-3.5977199999999998</v>
      </c>
    </row>
    <row r="33" spans="4:9" x14ac:dyDescent="0.2">
      <c r="D33" s="72">
        <v>0.29488799999999998</v>
      </c>
      <c r="E33" s="68">
        <v>66.368700000000004</v>
      </c>
      <c r="F33" s="73">
        <v>19.233899999999998</v>
      </c>
      <c r="G33" s="28">
        <v>0.12792500000000001</v>
      </c>
      <c r="H33" s="38">
        <f t="shared" si="0"/>
        <v>31</v>
      </c>
      <c r="I33" s="39">
        <v>-3.5102500000000001</v>
      </c>
    </row>
    <row r="34" spans="4:9" x14ac:dyDescent="0.2">
      <c r="D34" s="72">
        <v>0.30131599999999997</v>
      </c>
      <c r="E34" s="68">
        <v>66.763800000000003</v>
      </c>
      <c r="F34" s="73">
        <v>19.582799999999999</v>
      </c>
      <c r="G34" s="28">
        <v>0.131688</v>
      </c>
      <c r="H34" s="38">
        <f t="shared" si="0"/>
        <v>32</v>
      </c>
      <c r="I34" s="39">
        <v>-3.3228399999999998</v>
      </c>
    </row>
    <row r="35" spans="4:9" x14ac:dyDescent="0.2">
      <c r="D35" s="72">
        <v>0.308195</v>
      </c>
      <c r="E35" s="68">
        <v>67.159499999999994</v>
      </c>
      <c r="F35" s="73">
        <v>19.930199999999999</v>
      </c>
      <c r="G35" s="28">
        <v>0.135074</v>
      </c>
      <c r="H35" s="38">
        <f t="shared" si="0"/>
        <v>33</v>
      </c>
      <c r="I35" s="39">
        <v>-3.0593499999999998</v>
      </c>
    </row>
    <row r="36" spans="4:9" x14ac:dyDescent="0.2">
      <c r="D36" s="72">
        <v>0.31533099999999997</v>
      </c>
      <c r="E36" s="68">
        <v>67.555000000000007</v>
      </c>
      <c r="F36" s="73">
        <v>20.278500000000001</v>
      </c>
      <c r="G36" s="28">
        <v>0.13800599999999999</v>
      </c>
      <c r="H36" s="38">
        <f t="shared" si="0"/>
        <v>34</v>
      </c>
      <c r="I36" s="39">
        <v>-2.7377699999999998</v>
      </c>
    </row>
    <row r="37" spans="4:9" x14ac:dyDescent="0.2">
      <c r="D37" s="72">
        <v>0.32275100000000001</v>
      </c>
      <c r="E37" s="68">
        <v>67.950400000000002</v>
      </c>
      <c r="F37" s="73">
        <v>20.627300000000002</v>
      </c>
      <c r="G37" s="28">
        <v>0.14047499999999999</v>
      </c>
      <c r="H37" s="38">
        <f t="shared" si="0"/>
        <v>35</v>
      </c>
      <c r="I37" s="39">
        <v>-2.3702399999999999</v>
      </c>
    </row>
    <row r="38" spans="4:9" x14ac:dyDescent="0.2">
      <c r="D38" s="72">
        <v>0.33047300000000002</v>
      </c>
      <c r="E38" s="68">
        <v>68.345600000000005</v>
      </c>
      <c r="F38" s="73">
        <v>20.976500000000001</v>
      </c>
      <c r="G38" s="28">
        <v>0.142517</v>
      </c>
      <c r="H38" s="38">
        <f t="shared" si="0"/>
        <v>36</v>
      </c>
      <c r="I38" s="39">
        <v>-1.9654</v>
      </c>
    </row>
    <row r="39" spans="4:9" x14ac:dyDescent="0.2">
      <c r="D39" s="72">
        <v>0.33849299999999999</v>
      </c>
      <c r="E39" s="68">
        <v>68.740399999999994</v>
      </c>
      <c r="F39" s="73">
        <v>21.3261</v>
      </c>
      <c r="G39" s="28">
        <v>0.144119</v>
      </c>
      <c r="H39" s="38">
        <f t="shared" si="0"/>
        <v>37</v>
      </c>
      <c r="I39" s="39">
        <v>-1.52871</v>
      </c>
    </row>
    <row r="40" spans="4:9" x14ac:dyDescent="0.2">
      <c r="D40" s="72">
        <v>0.34679199999999999</v>
      </c>
      <c r="E40" s="68">
        <v>69.134900000000002</v>
      </c>
      <c r="F40" s="73">
        <v>21.676400000000001</v>
      </c>
      <c r="G40" s="28">
        <v>0.145348</v>
      </c>
      <c r="H40" s="38">
        <f t="shared" si="0"/>
        <v>38</v>
      </c>
      <c r="I40" s="39">
        <v>-1.0638099999999999</v>
      </c>
    </row>
    <row r="41" spans="4:9" x14ac:dyDescent="0.2">
      <c r="D41" s="72">
        <v>0.355352</v>
      </c>
      <c r="E41" s="68">
        <v>69.528700000000001</v>
      </c>
      <c r="F41" s="73">
        <v>22.0276</v>
      </c>
      <c r="G41" s="28">
        <v>0.14636299999999999</v>
      </c>
      <c r="H41" s="38">
        <f t="shared" si="0"/>
        <v>39</v>
      </c>
      <c r="I41" s="39">
        <v>-0.57453799999999999</v>
      </c>
    </row>
    <row r="42" spans="4:9" x14ac:dyDescent="0.2">
      <c r="D42" s="72">
        <v>0.36418099999999998</v>
      </c>
      <c r="E42" s="68">
        <v>69.921800000000005</v>
      </c>
      <c r="F42" s="73">
        <v>22.379899999999999</v>
      </c>
      <c r="G42" s="28">
        <v>0.14713499999999999</v>
      </c>
      <c r="H42" s="38">
        <f t="shared" si="0"/>
        <v>40</v>
      </c>
      <c r="I42" s="39">
        <v>-6.2675400000000006E-2</v>
      </c>
    </row>
    <row r="43" spans="4:9" x14ac:dyDescent="0.2">
      <c r="D43" s="72">
        <v>0.37330799999999997</v>
      </c>
      <c r="E43" s="68">
        <v>70.314400000000006</v>
      </c>
      <c r="F43" s="73">
        <v>22.733000000000001</v>
      </c>
      <c r="G43" s="28">
        <v>0.14766499999999999</v>
      </c>
      <c r="H43" s="38">
        <f t="shared" si="0"/>
        <v>41</v>
      </c>
      <c r="I43" s="39">
        <v>0.47159200000000001</v>
      </c>
    </row>
    <row r="44" spans="4:9" x14ac:dyDescent="0.2">
      <c r="D44" s="72">
        <v>0.38278299999999998</v>
      </c>
      <c r="E44" s="68">
        <v>70.706400000000002</v>
      </c>
      <c r="F44" s="73">
        <v>23.086500000000001</v>
      </c>
      <c r="G44" s="28">
        <v>0.14827799999999999</v>
      </c>
      <c r="H44" s="38">
        <f t="shared" si="0"/>
        <v>42</v>
      </c>
      <c r="I44" s="39">
        <v>1.0251999999999999</v>
      </c>
    </row>
    <row r="45" spans="4:9" x14ac:dyDescent="0.2">
      <c r="D45" s="72">
        <v>0.39263199999999998</v>
      </c>
      <c r="E45" s="68">
        <v>71.097999999999999</v>
      </c>
      <c r="F45" s="73">
        <v>23.440100000000001</v>
      </c>
      <c r="G45" s="28">
        <v>0.149009</v>
      </c>
      <c r="H45" s="38">
        <f t="shared" si="0"/>
        <v>43</v>
      </c>
      <c r="I45" s="39">
        <v>1.59642</v>
      </c>
    </row>
    <row r="46" spans="4:9" x14ac:dyDescent="0.2">
      <c r="D46" s="72">
        <v>0.40285799999999999</v>
      </c>
      <c r="E46" s="68">
        <v>71.488900000000001</v>
      </c>
      <c r="F46" s="73">
        <v>23.793600000000001</v>
      </c>
      <c r="G46" s="28">
        <v>0.149566</v>
      </c>
      <c r="H46" s="38">
        <f t="shared" si="0"/>
        <v>44</v>
      </c>
      <c r="I46" s="39">
        <v>2.18851</v>
      </c>
    </row>
    <row r="47" spans="4:9" x14ac:dyDescent="0.2">
      <c r="D47" s="72">
        <v>0.41342899999999999</v>
      </c>
      <c r="E47" s="68">
        <v>71.879000000000005</v>
      </c>
      <c r="F47" s="73">
        <v>24.147500000000001</v>
      </c>
      <c r="G47" s="28">
        <v>0.15027599999999999</v>
      </c>
      <c r="H47" s="38">
        <f t="shared" si="0"/>
        <v>45</v>
      </c>
      <c r="I47" s="39">
        <v>2.7999499999999999</v>
      </c>
    </row>
    <row r="48" spans="4:9" x14ac:dyDescent="0.2">
      <c r="D48" s="72">
        <v>0.42430699999999999</v>
      </c>
      <c r="E48" s="68">
        <v>72.268000000000001</v>
      </c>
      <c r="F48" s="73">
        <v>24.502099999999999</v>
      </c>
      <c r="G48" s="28">
        <v>0.15162700000000001</v>
      </c>
      <c r="H48" s="38">
        <f t="shared" si="0"/>
        <v>46</v>
      </c>
      <c r="I48" s="39">
        <v>3.4247000000000001</v>
      </c>
    </row>
    <row r="49" spans="4:11" x14ac:dyDescent="0.2">
      <c r="D49" s="72">
        <v>0.43548700000000001</v>
      </c>
      <c r="E49" s="68">
        <v>72.655600000000007</v>
      </c>
      <c r="F49" s="73">
        <v>24.857500000000002</v>
      </c>
      <c r="G49" s="28">
        <v>0.15313099999999999</v>
      </c>
      <c r="H49" s="38">
        <f t="shared" si="0"/>
        <v>47</v>
      </c>
      <c r="I49" s="39">
        <v>4.0670200000000003</v>
      </c>
    </row>
    <row r="50" spans="4:11" x14ac:dyDescent="0.2">
      <c r="D50" s="72">
        <v>0.44699899999999998</v>
      </c>
      <c r="E50" s="68">
        <v>73.041899999999998</v>
      </c>
      <c r="F50" s="73">
        <v>25.2134</v>
      </c>
      <c r="G50" s="28">
        <v>0.15442800000000001</v>
      </c>
      <c r="H50" s="38">
        <f t="shared" si="0"/>
        <v>48</v>
      </c>
      <c r="I50" s="39">
        <v>4.7332299999999998</v>
      </c>
    </row>
    <row r="51" spans="4:11" x14ac:dyDescent="0.2">
      <c r="D51" s="72">
        <v>0.458899</v>
      </c>
      <c r="E51" s="68">
        <v>73.427000000000007</v>
      </c>
      <c r="F51" s="73">
        <v>25.569299999999998</v>
      </c>
      <c r="G51" s="28">
        <v>0.15643299999999999</v>
      </c>
      <c r="H51" s="38">
        <f t="shared" si="0"/>
        <v>49</v>
      </c>
      <c r="I51" s="39">
        <v>5.4141899999999996</v>
      </c>
    </row>
    <row r="52" spans="4:11" x14ac:dyDescent="0.2">
      <c r="D52" s="72">
        <v>0.47124100000000002</v>
      </c>
      <c r="E52" s="68">
        <v>73.8108</v>
      </c>
      <c r="F52" s="73">
        <v>25.924399999999999</v>
      </c>
      <c r="G52" s="28">
        <v>0.15951799999999999</v>
      </c>
      <c r="H52" s="38">
        <f t="shared" si="0"/>
        <v>50</v>
      </c>
      <c r="I52" s="39">
        <v>6.1027800000000001</v>
      </c>
    </row>
    <row r="53" spans="4:11" x14ac:dyDescent="0.2">
      <c r="D53" s="72">
        <v>0.48401100000000002</v>
      </c>
      <c r="E53" s="68">
        <v>74.192999999999998</v>
      </c>
      <c r="F53" s="73">
        <v>26.2788</v>
      </c>
      <c r="G53" s="28">
        <v>0.16254399999999999</v>
      </c>
      <c r="H53" s="38">
        <f t="shared" si="0"/>
        <v>51</v>
      </c>
      <c r="I53" s="39">
        <v>6.8124500000000001</v>
      </c>
      <c r="K53" s="42"/>
    </row>
    <row r="54" spans="4:11" x14ac:dyDescent="0.2">
      <c r="D54" s="72">
        <v>0.497172</v>
      </c>
      <c r="E54" s="68">
        <v>74.573499999999996</v>
      </c>
      <c r="F54" s="73">
        <v>26.6325</v>
      </c>
      <c r="G54" s="28">
        <v>0.16525200000000001</v>
      </c>
      <c r="H54" s="38">
        <f t="shared" si="0"/>
        <v>52</v>
      </c>
      <c r="I54" s="39">
        <v>7.5499700000000001</v>
      </c>
      <c r="K54" s="42"/>
    </row>
    <row r="55" spans="4:11" x14ac:dyDescent="0.2">
      <c r="D55" s="72">
        <v>0.51065400000000005</v>
      </c>
      <c r="E55" s="68">
        <v>74.951599999999999</v>
      </c>
      <c r="F55" s="73">
        <v>26.986000000000001</v>
      </c>
      <c r="G55" s="28">
        <v>0.16922200000000001</v>
      </c>
      <c r="H55" s="38">
        <f t="shared" si="0"/>
        <v>53</v>
      </c>
      <c r="I55" s="39">
        <v>8.2947900000000008</v>
      </c>
      <c r="K55" s="42"/>
    </row>
    <row r="56" spans="4:11" x14ac:dyDescent="0.2">
      <c r="D56" s="72">
        <v>0.52442999999999995</v>
      </c>
      <c r="E56" s="68">
        <v>75.327299999999994</v>
      </c>
      <c r="F56" s="73">
        <v>27.339400000000001</v>
      </c>
      <c r="G56" s="28">
        <v>0.174709</v>
      </c>
      <c r="H56" s="38">
        <f t="shared" si="0"/>
        <v>54</v>
      </c>
      <c r="I56" s="39">
        <v>9.0389499999999998</v>
      </c>
      <c r="K56" s="42"/>
    </row>
    <row r="57" spans="4:11" x14ac:dyDescent="0.2">
      <c r="D57" s="72">
        <v>0.53851000000000004</v>
      </c>
      <c r="E57" s="68">
        <v>75.700400000000002</v>
      </c>
      <c r="F57" s="73">
        <v>27.692599999999999</v>
      </c>
      <c r="G57" s="28">
        <v>0.179921</v>
      </c>
      <c r="H57" s="38">
        <f t="shared" si="0"/>
        <v>55</v>
      </c>
      <c r="I57" s="39">
        <v>9.8068200000000001</v>
      </c>
      <c r="K57" s="42"/>
    </row>
    <row r="58" spans="4:11" x14ac:dyDescent="0.2">
      <c r="D58" s="72">
        <v>0.55296800000000002</v>
      </c>
      <c r="E58" s="68">
        <v>76.070899999999995</v>
      </c>
      <c r="F58" s="73">
        <v>28.044799999999999</v>
      </c>
      <c r="G58" s="28">
        <v>0.18448800000000001</v>
      </c>
      <c r="H58" s="38">
        <f t="shared" si="0"/>
        <v>56</v>
      </c>
      <c r="I58" s="39">
        <v>10.6081</v>
      </c>
      <c r="K58" s="42"/>
    </row>
    <row r="59" spans="4:11" x14ac:dyDescent="0.2">
      <c r="D59" s="72">
        <v>0.56786800000000004</v>
      </c>
      <c r="E59" s="68">
        <v>76.438999999999993</v>
      </c>
      <c r="F59" s="73">
        <v>28.395199999999999</v>
      </c>
      <c r="G59" s="28">
        <v>0.19072800000000001</v>
      </c>
      <c r="H59" s="38">
        <f t="shared" si="0"/>
        <v>57</v>
      </c>
      <c r="I59" s="39">
        <v>11.409000000000001</v>
      </c>
      <c r="K59" s="42"/>
    </row>
    <row r="60" spans="4:11" x14ac:dyDescent="0.2">
      <c r="D60" s="72">
        <v>0.58323100000000005</v>
      </c>
      <c r="E60" s="68">
        <v>76.8048</v>
      </c>
      <c r="F60" s="73">
        <v>28.743600000000001</v>
      </c>
      <c r="G60" s="28">
        <v>0.19922500000000001</v>
      </c>
      <c r="H60" s="38">
        <f t="shared" si="0"/>
        <v>58</v>
      </c>
      <c r="I60" s="39">
        <v>12.1952</v>
      </c>
      <c r="K60" s="42"/>
    </row>
    <row r="61" spans="4:11" x14ac:dyDescent="0.2">
      <c r="D61" s="72">
        <v>0.59900699999999996</v>
      </c>
      <c r="E61" s="68">
        <v>77.1678</v>
      </c>
      <c r="F61" s="73">
        <v>29.0901</v>
      </c>
      <c r="G61" s="28">
        <v>0.20754600000000001</v>
      </c>
      <c r="H61" s="38">
        <f t="shared" si="0"/>
        <v>59</v>
      </c>
      <c r="I61" s="39">
        <v>13.0025</v>
      </c>
      <c r="K61" s="42"/>
    </row>
    <row r="62" spans="4:11" x14ac:dyDescent="0.2">
      <c r="D62" s="72">
        <v>0.61510699999999996</v>
      </c>
      <c r="E62" s="68">
        <v>77.527799999999999</v>
      </c>
      <c r="F62" s="73">
        <v>29.435199999999998</v>
      </c>
      <c r="G62" s="28">
        <v>0.21460000000000001</v>
      </c>
      <c r="H62" s="38">
        <f t="shared" si="0"/>
        <v>60</v>
      </c>
      <c r="I62" s="39">
        <v>13.8535</v>
      </c>
      <c r="K62" s="42"/>
    </row>
    <row r="63" spans="4:11" x14ac:dyDescent="0.2">
      <c r="D63" s="72">
        <v>0.63146199999999997</v>
      </c>
      <c r="E63" s="68">
        <v>77.884600000000006</v>
      </c>
      <c r="F63" s="73">
        <v>29.779399999999999</v>
      </c>
      <c r="G63" s="28">
        <v>0.223359</v>
      </c>
      <c r="H63" s="38">
        <f t="shared" si="0"/>
        <v>61</v>
      </c>
      <c r="I63" s="39">
        <v>14.7037</v>
      </c>
      <c r="K63" s="42"/>
    </row>
    <row r="64" spans="4:11" x14ac:dyDescent="0.2">
      <c r="D64" s="72">
        <v>0.64806399999999997</v>
      </c>
      <c r="E64" s="68">
        <v>78.238</v>
      </c>
      <c r="F64" s="73">
        <v>30.122599999999998</v>
      </c>
      <c r="G64" s="28">
        <v>0.235593</v>
      </c>
      <c r="H64" s="38">
        <f t="shared" si="0"/>
        <v>62</v>
      </c>
      <c r="I64" s="39">
        <v>15.5198</v>
      </c>
      <c r="K64" s="42"/>
    </row>
    <row r="65" spans="4:11" x14ac:dyDescent="0.2">
      <c r="D65" s="72">
        <v>0.66497700000000004</v>
      </c>
      <c r="E65" s="68">
        <v>78.588200000000001</v>
      </c>
      <c r="F65" s="73">
        <v>30.464500000000001</v>
      </c>
      <c r="G65" s="28">
        <v>0.248472</v>
      </c>
      <c r="H65" s="38">
        <f t="shared" si="0"/>
        <v>63</v>
      </c>
      <c r="I65" s="39">
        <v>16.344999999999999</v>
      </c>
      <c r="K65" s="42"/>
    </row>
    <row r="66" spans="4:11" x14ac:dyDescent="0.2">
      <c r="D66" s="72">
        <v>0.68230500000000005</v>
      </c>
      <c r="E66" s="68">
        <v>78.9358</v>
      </c>
      <c r="F66" s="73">
        <v>30.804300000000001</v>
      </c>
      <c r="G66" s="28">
        <v>0.259407</v>
      </c>
      <c r="H66" s="38">
        <f t="shared" si="0"/>
        <v>64</v>
      </c>
      <c r="I66" s="39">
        <v>17.226500000000001</v>
      </c>
      <c r="K66" s="42"/>
    </row>
    <row r="67" spans="4:11" x14ac:dyDescent="0.2">
      <c r="D67" s="72">
        <v>0.70011599999999996</v>
      </c>
      <c r="E67" s="68">
        <v>79.280699999999996</v>
      </c>
      <c r="F67" s="73">
        <v>31.141300000000001</v>
      </c>
      <c r="G67" s="28">
        <v>0.271254</v>
      </c>
      <c r="H67" s="38">
        <f t="shared" si="0"/>
        <v>65</v>
      </c>
      <c r="I67" s="39">
        <v>18.124400000000001</v>
      </c>
      <c r="K67" s="42"/>
    </row>
    <row r="68" spans="4:11" x14ac:dyDescent="0.2">
      <c r="D68" s="72">
        <v>0.71840700000000002</v>
      </c>
      <c r="E68" s="68">
        <v>79.623000000000005</v>
      </c>
      <c r="F68" s="73">
        <v>31.4755</v>
      </c>
      <c r="G68" s="28">
        <v>0.28813800000000001</v>
      </c>
      <c r="H68" s="38">
        <f t="shared" ref="H68:H87" si="1">H67+1</f>
        <v>66</v>
      </c>
      <c r="I68" s="39">
        <v>18.970099999999999</v>
      </c>
      <c r="K68" s="42"/>
    </row>
    <row r="69" spans="4:11" x14ac:dyDescent="0.2">
      <c r="D69" s="72">
        <v>0.73708099999999999</v>
      </c>
      <c r="E69" s="68">
        <v>79.962400000000002</v>
      </c>
      <c r="F69" s="73">
        <v>31.807400000000001</v>
      </c>
      <c r="G69" s="28">
        <v>0.30755199999999999</v>
      </c>
      <c r="H69" s="38">
        <f t="shared" si="1"/>
        <v>67</v>
      </c>
      <c r="I69" s="39">
        <v>19.801100000000002</v>
      </c>
      <c r="K69" s="42"/>
    </row>
    <row r="70" spans="4:11" x14ac:dyDescent="0.2">
      <c r="D70" s="72">
        <v>0.75604099999999996</v>
      </c>
      <c r="E70" s="68">
        <v>80.298699999999997</v>
      </c>
      <c r="F70" s="73">
        <v>32.1374</v>
      </c>
      <c r="G70" s="28">
        <v>0.324878</v>
      </c>
      <c r="H70" s="38">
        <f t="shared" si="1"/>
        <v>68</v>
      </c>
      <c r="I70" s="39">
        <v>20.694800000000001</v>
      </c>
      <c r="K70" s="42"/>
    </row>
    <row r="71" spans="4:11" x14ac:dyDescent="0.2">
      <c r="D71" s="72">
        <v>0.77521300000000004</v>
      </c>
      <c r="E71" s="68">
        <v>80.631600000000006</v>
      </c>
      <c r="F71" s="73">
        <v>32.466200000000001</v>
      </c>
      <c r="G71" s="28">
        <v>0.34124399999999999</v>
      </c>
      <c r="H71" s="38">
        <f t="shared" si="1"/>
        <v>69</v>
      </c>
      <c r="I71" s="39">
        <v>21.641200000000001</v>
      </c>
      <c r="K71" s="42"/>
    </row>
    <row r="72" spans="4:11" x14ac:dyDescent="0.2">
      <c r="D72" s="72">
        <v>0.79460900000000001</v>
      </c>
      <c r="E72" s="68">
        <v>80.961299999999994</v>
      </c>
      <c r="F72" s="73">
        <v>32.793799999999997</v>
      </c>
      <c r="G72" s="28">
        <v>0.36398999999999998</v>
      </c>
      <c r="H72" s="38">
        <f t="shared" si="1"/>
        <v>70</v>
      </c>
      <c r="I72" s="39">
        <v>22.529199999999999</v>
      </c>
      <c r="K72" s="42"/>
    </row>
    <row r="73" spans="4:11" x14ac:dyDescent="0.2">
      <c r="D73" s="72">
        <v>0.81433500000000003</v>
      </c>
      <c r="E73" s="68">
        <v>81.287999999999997</v>
      </c>
      <c r="F73" s="73">
        <v>33.119700000000002</v>
      </c>
      <c r="G73" s="28">
        <v>0.39237100000000003</v>
      </c>
      <c r="H73" s="38">
        <f t="shared" si="1"/>
        <v>71</v>
      </c>
      <c r="I73" s="39">
        <v>23.369199999999999</v>
      </c>
      <c r="K73" s="42"/>
    </row>
    <row r="74" spans="4:11" x14ac:dyDescent="0.2">
      <c r="D74" s="72">
        <v>0.83452400000000004</v>
      </c>
      <c r="E74" s="68">
        <v>81.612200000000001</v>
      </c>
      <c r="F74" s="73">
        <v>33.442900000000002</v>
      </c>
      <c r="G74" s="28">
        <v>0.41950700000000002</v>
      </c>
      <c r="H74" s="38">
        <f t="shared" si="1"/>
        <v>72</v>
      </c>
      <c r="I74" s="39">
        <v>24.265699999999999</v>
      </c>
      <c r="K74" s="42"/>
    </row>
    <row r="75" spans="4:11" x14ac:dyDescent="0.2">
      <c r="D75" s="72">
        <v>0.85526599999999997</v>
      </c>
      <c r="E75" s="68">
        <v>81.934100000000001</v>
      </c>
      <c r="F75" s="73">
        <v>33.762900000000002</v>
      </c>
      <c r="G75" s="28">
        <v>0.44307000000000002</v>
      </c>
      <c r="H75" s="38">
        <f t="shared" si="1"/>
        <v>73</v>
      </c>
      <c r="I75" s="39">
        <v>25.258400000000002</v>
      </c>
      <c r="K75" s="42"/>
    </row>
    <row r="76" spans="4:11" x14ac:dyDescent="0.2">
      <c r="D76" s="72">
        <v>0.87653899999999996</v>
      </c>
      <c r="E76" s="68">
        <v>82.253699999999995</v>
      </c>
      <c r="F76" s="73">
        <v>34.079700000000003</v>
      </c>
      <c r="G76" s="28">
        <v>0.47356900000000002</v>
      </c>
      <c r="H76" s="38">
        <f t="shared" si="1"/>
        <v>74</v>
      </c>
      <c r="I76" s="39">
        <v>26.204000000000001</v>
      </c>
      <c r="K76" s="42"/>
    </row>
    <row r="77" spans="4:11" x14ac:dyDescent="0.2">
      <c r="D77" s="72">
        <v>0.89825900000000003</v>
      </c>
      <c r="E77" s="68">
        <v>82.570700000000002</v>
      </c>
      <c r="F77" s="73">
        <v>34.393700000000003</v>
      </c>
      <c r="G77" s="28">
        <v>0.51403699999999997</v>
      </c>
      <c r="H77" s="38">
        <f t="shared" si="1"/>
        <v>75</v>
      </c>
      <c r="I77" s="39">
        <v>27.064599999999999</v>
      </c>
      <c r="K77" s="42"/>
    </row>
    <row r="78" spans="4:11" x14ac:dyDescent="0.2">
      <c r="D78" s="72">
        <v>0.92029300000000003</v>
      </c>
      <c r="E78" s="68">
        <v>82.884799999999998</v>
      </c>
      <c r="F78" s="73">
        <v>34.705800000000004</v>
      </c>
      <c r="G78" s="28">
        <v>0.55485300000000004</v>
      </c>
      <c r="H78" s="38">
        <f t="shared" si="1"/>
        <v>76</v>
      </c>
      <c r="I78" s="39">
        <v>27.969799999999999</v>
      </c>
      <c r="K78" s="42"/>
    </row>
    <row r="79" spans="4:11" x14ac:dyDescent="0.2">
      <c r="D79" s="72">
        <v>0.94255199999999995</v>
      </c>
      <c r="E79" s="68">
        <v>83.195800000000006</v>
      </c>
      <c r="F79" s="73">
        <v>35.016500000000001</v>
      </c>
      <c r="G79" s="28">
        <v>0.58903700000000003</v>
      </c>
      <c r="H79" s="38">
        <f t="shared" si="1"/>
        <v>77</v>
      </c>
      <c r="I79" s="39">
        <v>29.009499999999999</v>
      </c>
      <c r="K79" s="42"/>
    </row>
    <row r="80" spans="4:11" x14ac:dyDescent="0.2">
      <c r="D80" s="72">
        <v>0.96504999999999996</v>
      </c>
      <c r="E80" s="68">
        <v>83.503699999999995</v>
      </c>
      <c r="F80" s="73">
        <v>35.325899999999997</v>
      </c>
      <c r="G80" s="28">
        <v>0.63035200000000002</v>
      </c>
      <c r="H80" s="38">
        <f t="shared" si="1"/>
        <v>78</v>
      </c>
      <c r="I80" s="39">
        <v>30.0183</v>
      </c>
      <c r="K80" s="42"/>
    </row>
    <row r="81" spans="4:11" x14ac:dyDescent="0.2">
      <c r="D81" s="72">
        <v>0.98789099999999996</v>
      </c>
      <c r="E81" s="68">
        <v>83.808899999999994</v>
      </c>
      <c r="F81" s="73">
        <v>35.633499999999998</v>
      </c>
      <c r="G81" s="28">
        <v>0.687087</v>
      </c>
      <c r="H81" s="38">
        <f t="shared" si="1"/>
        <v>79</v>
      </c>
      <c r="I81" s="39">
        <v>30.9057</v>
      </c>
      <c r="K81" s="42"/>
    </row>
    <row r="82" spans="4:11" ht="17" thickBot="1" x14ac:dyDescent="0.25">
      <c r="D82" s="74">
        <v>1.01122</v>
      </c>
      <c r="E82" s="75">
        <v>84.111800000000002</v>
      </c>
      <c r="F82" s="76">
        <v>35.938800000000001</v>
      </c>
      <c r="G82" s="28">
        <v>0.74538899999999997</v>
      </c>
      <c r="H82" s="38">
        <f t="shared" si="1"/>
        <v>80</v>
      </c>
      <c r="I82" s="39">
        <v>31.83</v>
      </c>
      <c r="K82" s="42"/>
    </row>
    <row r="83" spans="4:11" x14ac:dyDescent="0.2">
      <c r="E83" s="42"/>
      <c r="G83" s="28">
        <v>0.793431</v>
      </c>
      <c r="H83" s="38">
        <f t="shared" si="1"/>
        <v>81</v>
      </c>
      <c r="I83" s="39">
        <v>32.915199999999999</v>
      </c>
    </row>
    <row r="84" spans="4:11" x14ac:dyDescent="0.2">
      <c r="E84" s="42"/>
      <c r="G84" s="28">
        <v>0.85048699999999999</v>
      </c>
      <c r="H84" s="38">
        <f t="shared" si="1"/>
        <v>82</v>
      </c>
      <c r="I84" s="39">
        <v>33.965400000000002</v>
      </c>
    </row>
    <row r="85" spans="4:11" x14ac:dyDescent="0.2">
      <c r="E85" s="42"/>
      <c r="G85" s="28">
        <v>0.92935199999999996</v>
      </c>
      <c r="H85" s="38">
        <f t="shared" si="1"/>
        <v>83</v>
      </c>
      <c r="I85" s="39">
        <v>34.863399999999999</v>
      </c>
    </row>
    <row r="86" spans="4:11" x14ac:dyDescent="0.2">
      <c r="E86" s="42"/>
      <c r="G86" s="28">
        <v>1.0105500000000001</v>
      </c>
      <c r="H86" s="38">
        <f t="shared" si="1"/>
        <v>84</v>
      </c>
      <c r="I86" s="39">
        <v>35.798999999999999</v>
      </c>
    </row>
    <row r="87" spans="4:11" ht="17" thickBot="1" x14ac:dyDescent="0.25">
      <c r="E87" s="42"/>
      <c r="G87" s="29">
        <v>1.0787100000000001</v>
      </c>
      <c r="H87" s="40">
        <f t="shared" si="1"/>
        <v>85</v>
      </c>
      <c r="I87" s="41">
        <v>36.914700000000003</v>
      </c>
    </row>
    <row r="88" spans="4:11" x14ac:dyDescent="0.2">
      <c r="H88" s="42"/>
      <c r="K88" s="42"/>
    </row>
    <row r="89" spans="4:11" x14ac:dyDescent="0.2">
      <c r="H89" s="42"/>
      <c r="K89" s="42"/>
    </row>
    <row r="90" spans="4:11" x14ac:dyDescent="0.2">
      <c r="H90" s="42"/>
      <c r="K90" s="42"/>
    </row>
    <row r="91" spans="4:11" x14ac:dyDescent="0.2">
      <c r="H91" s="42"/>
      <c r="K91" s="42"/>
    </row>
    <row r="92" spans="4:11" x14ac:dyDescent="0.2">
      <c r="H92" s="42"/>
      <c r="K92" s="42"/>
    </row>
    <row r="93" spans="4:11" x14ac:dyDescent="0.2">
      <c r="H93" s="42"/>
      <c r="K93" s="42"/>
    </row>
    <row r="94" spans="4:11" x14ac:dyDescent="0.2">
      <c r="H94" s="42"/>
      <c r="K94" s="42"/>
    </row>
    <row r="95" spans="4:11" x14ac:dyDescent="0.2">
      <c r="H95" s="42"/>
      <c r="K95" s="42"/>
    </row>
    <row r="96" spans="4:11" x14ac:dyDescent="0.2">
      <c r="H96" s="42"/>
      <c r="K96" s="42"/>
    </row>
    <row r="97" spans="8:11" x14ac:dyDescent="0.2">
      <c r="H97" s="42"/>
      <c r="K97" s="42"/>
    </row>
    <row r="98" spans="8:11" x14ac:dyDescent="0.2">
      <c r="H98" s="42"/>
      <c r="K98" s="42"/>
    </row>
    <row r="99" spans="8:11" x14ac:dyDescent="0.2">
      <c r="H99" s="42"/>
      <c r="K99" s="42"/>
    </row>
    <row r="100" spans="8:11" x14ac:dyDescent="0.2">
      <c r="H100" s="42"/>
      <c r="K100" s="42"/>
    </row>
    <row r="101" spans="8:11" x14ac:dyDescent="0.2">
      <c r="H101" s="42"/>
      <c r="K101" s="42"/>
    </row>
    <row r="102" spans="8:11" x14ac:dyDescent="0.2">
      <c r="H102" s="42"/>
      <c r="K102" s="42"/>
    </row>
    <row r="103" spans="8:11" x14ac:dyDescent="0.2">
      <c r="H103" s="42"/>
      <c r="K103" s="42"/>
    </row>
    <row r="104" spans="8:11" x14ac:dyDescent="0.2">
      <c r="H104" s="42"/>
      <c r="K104" s="42"/>
    </row>
    <row r="105" spans="8:11" x14ac:dyDescent="0.2">
      <c r="H105" s="42"/>
      <c r="K105" s="42"/>
    </row>
    <row r="106" spans="8:11" x14ac:dyDescent="0.2">
      <c r="H106" s="42"/>
      <c r="K106" s="42"/>
    </row>
    <row r="107" spans="8:11" x14ac:dyDescent="0.2">
      <c r="H107" s="42"/>
      <c r="K107" s="42"/>
    </row>
    <row r="108" spans="8:11" x14ac:dyDescent="0.2">
      <c r="H108" s="42"/>
      <c r="K108" s="42"/>
    </row>
    <row r="109" spans="8:11" x14ac:dyDescent="0.2">
      <c r="H109" s="42"/>
      <c r="K109" s="42"/>
    </row>
    <row r="110" spans="8:11" x14ac:dyDescent="0.2">
      <c r="H110" s="42"/>
      <c r="K110" s="42"/>
    </row>
    <row r="111" spans="8:11" x14ac:dyDescent="0.2">
      <c r="H111" s="42"/>
      <c r="K111" s="42"/>
    </row>
    <row r="112" spans="8:11" x14ac:dyDescent="0.2">
      <c r="H112" s="42"/>
      <c r="K112" s="42"/>
    </row>
    <row r="113" spans="8:11" x14ac:dyDescent="0.2">
      <c r="H113" s="42"/>
      <c r="K113" s="42"/>
    </row>
    <row r="114" spans="8:11" x14ac:dyDescent="0.2">
      <c r="H114" s="42"/>
      <c r="K114" s="42"/>
    </row>
    <row r="115" spans="8:11" x14ac:dyDescent="0.2">
      <c r="H115" s="42"/>
      <c r="K115" s="42"/>
    </row>
    <row r="116" spans="8:11" x14ac:dyDescent="0.2">
      <c r="H116" s="42"/>
      <c r="K116" s="42"/>
    </row>
    <row r="117" spans="8:11" x14ac:dyDescent="0.2">
      <c r="H117" s="42"/>
      <c r="K117" s="42"/>
    </row>
    <row r="118" spans="8:11" x14ac:dyDescent="0.2">
      <c r="H118" s="42"/>
      <c r="K118" s="42"/>
    </row>
    <row r="119" spans="8:11" x14ac:dyDescent="0.2">
      <c r="H119" s="42"/>
      <c r="K119" s="42"/>
    </row>
    <row r="120" spans="8:11" x14ac:dyDescent="0.2">
      <c r="H120" s="42"/>
      <c r="K120" s="42"/>
    </row>
    <row r="121" spans="8:11" x14ac:dyDescent="0.2">
      <c r="H121" s="42"/>
      <c r="K121" s="42"/>
    </row>
    <row r="122" spans="8:11" x14ac:dyDescent="0.2">
      <c r="H122" s="42"/>
      <c r="K122" s="42"/>
    </row>
    <row r="123" spans="8:11" x14ac:dyDescent="0.2">
      <c r="H123" s="42"/>
      <c r="K123" s="42"/>
    </row>
    <row r="124" spans="8:11" x14ac:dyDescent="0.2">
      <c r="H124" s="42"/>
      <c r="K124" s="42"/>
    </row>
    <row r="125" spans="8:11" x14ac:dyDescent="0.2">
      <c r="H125" s="42"/>
      <c r="K125" s="42"/>
    </row>
    <row r="126" spans="8:11" x14ac:dyDescent="0.2">
      <c r="H126" s="42"/>
      <c r="K126" s="42"/>
    </row>
    <row r="127" spans="8:11" x14ac:dyDescent="0.2">
      <c r="H127" s="42"/>
      <c r="K127" s="42"/>
    </row>
    <row r="128" spans="8:11" x14ac:dyDescent="0.2">
      <c r="H128" s="42"/>
      <c r="K128" s="42"/>
    </row>
    <row r="129" spans="8:11" x14ac:dyDescent="0.2">
      <c r="H129" s="42"/>
      <c r="K129" s="42"/>
    </row>
    <row r="130" spans="8:11" x14ac:dyDescent="0.2">
      <c r="H130" s="42"/>
      <c r="K130" s="42"/>
    </row>
    <row r="131" spans="8:11" x14ac:dyDescent="0.2">
      <c r="H131" s="42"/>
      <c r="K131" s="42"/>
    </row>
    <row r="132" spans="8:11" x14ac:dyDescent="0.2">
      <c r="H132" s="42"/>
      <c r="K132" s="42"/>
    </row>
    <row r="133" spans="8:11" x14ac:dyDescent="0.2">
      <c r="H133" s="42"/>
      <c r="K133" s="42"/>
    </row>
    <row r="134" spans="8:11" x14ac:dyDescent="0.2">
      <c r="H134" s="42"/>
      <c r="K134" s="42"/>
    </row>
    <row r="135" spans="8:11" x14ac:dyDescent="0.2">
      <c r="H135" s="42"/>
      <c r="K135" s="42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0D9E-49AE-6842-B85D-BDF4784C52FF}">
  <dimension ref="A1:J114"/>
  <sheetViews>
    <sheetView topLeftCell="A47" zoomScaleNormal="100" workbookViewId="0">
      <selection activeCell="E30" sqref="E30"/>
    </sheetView>
  </sheetViews>
  <sheetFormatPr baseColWidth="10" defaultRowHeight="16" x14ac:dyDescent="0.2"/>
  <sheetData>
    <row r="1" spans="1:6" ht="17" thickBot="1" x14ac:dyDescent="0.25">
      <c r="A1" s="20" t="s">
        <v>14</v>
      </c>
      <c r="B1" s="21" t="s">
        <v>30</v>
      </c>
      <c r="C1" s="20" t="s">
        <v>17</v>
      </c>
      <c r="D1" s="21" t="s">
        <v>18</v>
      </c>
      <c r="E1" s="60" t="s">
        <v>31</v>
      </c>
    </row>
    <row r="2" spans="1:6" x14ac:dyDescent="0.2">
      <c r="A2" s="31">
        <v>0</v>
      </c>
      <c r="B2" s="37">
        <v>0</v>
      </c>
      <c r="C2" s="31">
        <v>0</v>
      </c>
      <c r="D2" s="19">
        <v>0</v>
      </c>
    </row>
    <row r="3" spans="1:6" x14ac:dyDescent="0.2">
      <c r="A3" s="28">
        <v>0.05</v>
      </c>
      <c r="B3" s="39">
        <v>5.4210000000000001E-2</v>
      </c>
      <c r="C3" s="28">
        <v>2.5000000000000001E-2</v>
      </c>
      <c r="D3" s="7">
        <v>2.3614599999999999E-2</v>
      </c>
      <c r="F3" s="56"/>
    </row>
    <row r="4" spans="1:6" x14ac:dyDescent="0.2">
      <c r="A4" s="28">
        <v>0.1</v>
      </c>
      <c r="B4" s="39">
        <v>0.161</v>
      </c>
      <c r="C4" s="28">
        <v>0.05</v>
      </c>
      <c r="D4" s="7">
        <v>5.5208100000000003E-2</v>
      </c>
      <c r="F4" s="56"/>
    </row>
    <row r="5" spans="1:6" x14ac:dyDescent="0.2">
      <c r="A5" s="28">
        <v>0.125</v>
      </c>
      <c r="B5" s="39">
        <v>0.22195000000000001</v>
      </c>
      <c r="C5" s="28">
        <v>7.4999999999999997E-2</v>
      </c>
      <c r="D5" s="7">
        <v>0.101661</v>
      </c>
      <c r="F5" s="56"/>
    </row>
    <row r="6" spans="1:6" x14ac:dyDescent="0.2">
      <c r="A6" s="28">
        <v>0.15</v>
      </c>
      <c r="B6" s="39">
        <v>0.27656999999999998</v>
      </c>
      <c r="C6" s="28">
        <v>0.1</v>
      </c>
      <c r="D6" s="7">
        <v>0.162443</v>
      </c>
      <c r="E6" s="55">
        <f>D6/B4 - 1</f>
        <v>8.9627329192547567E-3</v>
      </c>
      <c r="F6" s="56"/>
    </row>
    <row r="7" spans="1:6" x14ac:dyDescent="0.2">
      <c r="A7" s="28">
        <v>0.17499999999999999</v>
      </c>
      <c r="B7" s="39">
        <v>0.32700000000000001</v>
      </c>
      <c r="C7" s="28">
        <v>0.125</v>
      </c>
      <c r="D7" s="7">
        <v>0.22222700000000001</v>
      </c>
      <c r="F7" s="56"/>
    </row>
    <row r="8" spans="1:6" x14ac:dyDescent="0.2">
      <c r="A8" s="28">
        <v>0.2</v>
      </c>
      <c r="B8" s="39">
        <v>0.37581999999999999</v>
      </c>
      <c r="C8" s="28">
        <v>0.15</v>
      </c>
      <c r="D8" s="7">
        <v>0.27659299999999998</v>
      </c>
      <c r="F8" s="56"/>
    </row>
    <row r="9" spans="1:6" x14ac:dyDescent="0.2">
      <c r="A9" s="28">
        <v>0.22500000000000001</v>
      </c>
      <c r="B9" s="39">
        <v>0.42633000000000004</v>
      </c>
      <c r="C9" s="28">
        <v>0.17499999999999999</v>
      </c>
      <c r="D9" s="7">
        <v>0.32745299999999999</v>
      </c>
      <c r="F9" s="56"/>
    </row>
    <row r="10" spans="1:6" x14ac:dyDescent="0.2">
      <c r="A10" s="28">
        <v>0.25</v>
      </c>
      <c r="B10" s="39">
        <v>0.48536999999999997</v>
      </c>
      <c r="C10" s="28">
        <v>0.2</v>
      </c>
      <c r="D10" s="7">
        <v>0.37737399999999999</v>
      </c>
      <c r="E10" s="55">
        <f>D10/B8 - 1</f>
        <v>4.1349582246821281E-3</v>
      </c>
      <c r="F10" s="56"/>
    </row>
    <row r="11" spans="1:6" x14ac:dyDescent="0.2">
      <c r="A11" s="28">
        <v>0.27500000000000002</v>
      </c>
      <c r="B11" s="39">
        <v>0.56355</v>
      </c>
      <c r="C11" s="28">
        <v>0.22500000000000001</v>
      </c>
      <c r="D11" s="7">
        <v>0.43007499999999999</v>
      </c>
      <c r="F11" s="56"/>
    </row>
    <row r="12" spans="1:6" x14ac:dyDescent="0.2">
      <c r="A12" s="28">
        <v>0.3</v>
      </c>
      <c r="B12" s="39">
        <v>0.66409999999999991</v>
      </c>
      <c r="C12" s="28">
        <v>0.25</v>
      </c>
      <c r="D12" s="7">
        <v>0.49269299999999999</v>
      </c>
      <c r="F12" s="56"/>
    </row>
    <row r="13" spans="1:6" x14ac:dyDescent="0.2">
      <c r="A13" s="28">
        <v>0.32500000000000001</v>
      </c>
      <c r="B13" s="39">
        <v>0.79810000000000003</v>
      </c>
      <c r="C13" s="28">
        <v>0.27500000000000002</v>
      </c>
      <c r="D13" s="7">
        <v>0.57322799999999996</v>
      </c>
      <c r="F13" s="56"/>
    </row>
    <row r="14" spans="1:6" x14ac:dyDescent="0.2">
      <c r="A14" s="28">
        <v>0.35</v>
      </c>
      <c r="B14" s="39">
        <v>0.94668999999999992</v>
      </c>
      <c r="C14" s="28">
        <v>0.3</v>
      </c>
      <c r="D14" s="7">
        <v>0.67718199999999995</v>
      </c>
      <c r="E14" s="55">
        <f>D14/B12 - 1</f>
        <v>1.9698840536063855E-2</v>
      </c>
      <c r="F14" s="56"/>
    </row>
    <row r="15" spans="1:6" x14ac:dyDescent="0.2">
      <c r="A15" s="28">
        <v>0.4</v>
      </c>
      <c r="B15" s="39">
        <v>1.1370399999999998</v>
      </c>
      <c r="C15" s="28">
        <v>0.32500000000000001</v>
      </c>
      <c r="D15" s="7">
        <v>0.81688799999999995</v>
      </c>
      <c r="F15" s="56"/>
    </row>
    <row r="16" spans="1:6" x14ac:dyDescent="0.2">
      <c r="A16" s="28">
        <v>0.45</v>
      </c>
      <c r="B16" s="39">
        <v>1.2475100000000001</v>
      </c>
      <c r="C16" s="28">
        <v>0.35</v>
      </c>
      <c r="D16" s="7">
        <v>0.96315499999999998</v>
      </c>
      <c r="F16" s="56"/>
    </row>
    <row r="17" spans="1:6" x14ac:dyDescent="0.2">
      <c r="A17" s="28">
        <v>0.5</v>
      </c>
      <c r="B17" s="39">
        <v>1.32653</v>
      </c>
      <c r="C17" s="28">
        <v>0.375</v>
      </c>
      <c r="D17" s="7">
        <v>1.0694699999999999</v>
      </c>
      <c r="F17" s="56"/>
    </row>
    <row r="18" spans="1:6" x14ac:dyDescent="0.2">
      <c r="A18" s="28">
        <v>0.55000000000000004</v>
      </c>
      <c r="B18" s="39">
        <v>1.3891999999999998</v>
      </c>
      <c r="C18" s="28">
        <v>0.4</v>
      </c>
      <c r="D18" s="7">
        <v>1.14581</v>
      </c>
      <c r="E18" s="55">
        <f>D18/B15 - 1</f>
        <v>7.7130092169142017E-3</v>
      </c>
      <c r="F18" s="56"/>
    </row>
    <row r="19" spans="1:6" x14ac:dyDescent="0.2">
      <c r="A19" s="28">
        <v>0.6</v>
      </c>
      <c r="B19" s="39">
        <v>1.4418500000000001</v>
      </c>
      <c r="C19" s="28">
        <v>0.42499999999999999</v>
      </c>
      <c r="D19" s="7">
        <v>1.2051400000000001</v>
      </c>
      <c r="F19" s="56"/>
    </row>
    <row r="20" spans="1:6" x14ac:dyDescent="0.2">
      <c r="A20" s="28">
        <v>0.65</v>
      </c>
      <c r="B20" s="39">
        <v>1.4877</v>
      </c>
      <c r="C20" s="28">
        <v>0.45</v>
      </c>
      <c r="D20" s="7">
        <v>1.2537100000000001</v>
      </c>
      <c r="F20" s="56"/>
    </row>
    <row r="21" spans="1:6" x14ac:dyDescent="0.2">
      <c r="A21" s="28">
        <v>0.7</v>
      </c>
      <c r="B21" s="39">
        <v>1.5286299999999999</v>
      </c>
      <c r="C21" s="28">
        <v>0.47499999999999998</v>
      </c>
      <c r="D21" s="7">
        <v>1.29531</v>
      </c>
      <c r="F21" s="56"/>
    </row>
    <row r="22" spans="1:6" x14ac:dyDescent="0.2">
      <c r="A22" s="28">
        <v>0.75</v>
      </c>
      <c r="B22" s="39">
        <v>1.5658400000000001</v>
      </c>
      <c r="C22" s="28">
        <v>0.5</v>
      </c>
      <c r="D22" s="7">
        <v>1.3319799999999999</v>
      </c>
      <c r="E22" s="55">
        <f>D22/B17 - 1</f>
        <v>4.1084634346753024E-3</v>
      </c>
      <c r="F22" s="56"/>
    </row>
    <row r="23" spans="1:6" x14ac:dyDescent="0.2">
      <c r="A23" s="28">
        <v>0.8</v>
      </c>
      <c r="B23" s="39">
        <v>1.60015</v>
      </c>
      <c r="C23" s="28">
        <v>0.52500000000000002</v>
      </c>
      <c r="D23" s="7">
        <v>1.3643700000000001</v>
      </c>
      <c r="F23" s="56"/>
    </row>
    <row r="24" spans="1:6" x14ac:dyDescent="0.2">
      <c r="A24" s="28">
        <v>0.85</v>
      </c>
      <c r="B24" s="39">
        <v>1.6321100000000002</v>
      </c>
      <c r="C24" s="28">
        <v>0.55000000000000004</v>
      </c>
      <c r="D24" s="7">
        <v>1.3941600000000001</v>
      </c>
      <c r="F24" s="56"/>
    </row>
    <row r="25" spans="1:6" x14ac:dyDescent="0.2">
      <c r="A25" s="28">
        <v>0.9</v>
      </c>
      <c r="B25" s="39">
        <v>1.6619999999999999</v>
      </c>
      <c r="C25" s="28">
        <v>0.57499999999999996</v>
      </c>
      <c r="D25" s="7">
        <v>1.42161</v>
      </c>
      <c r="F25" s="56"/>
    </row>
    <row r="26" spans="1:6" x14ac:dyDescent="0.2">
      <c r="A26" s="28">
        <v>0.95</v>
      </c>
      <c r="B26" s="39">
        <v>1.6897300000000002</v>
      </c>
      <c r="C26" s="28">
        <v>0.6</v>
      </c>
      <c r="D26" s="7">
        <v>1.4466600000000001</v>
      </c>
      <c r="E26" s="55">
        <f>D26/B19 - 1</f>
        <v>3.335991954780404E-3</v>
      </c>
      <c r="F26" s="56"/>
    </row>
    <row r="27" spans="1:6" ht="17" thickBot="1" x14ac:dyDescent="0.25">
      <c r="A27" s="29">
        <v>1</v>
      </c>
      <c r="B27" s="41">
        <v>1.71505</v>
      </c>
      <c r="C27" s="28">
        <v>0.625</v>
      </c>
      <c r="D27" s="7">
        <v>1.4702299999999999</v>
      </c>
      <c r="F27" s="56"/>
    </row>
    <row r="28" spans="1:6" x14ac:dyDescent="0.2">
      <c r="C28" s="28">
        <v>0.65</v>
      </c>
      <c r="D28" s="7">
        <v>1.4927299999999999</v>
      </c>
      <c r="F28" s="56"/>
    </row>
    <row r="29" spans="1:6" x14ac:dyDescent="0.2">
      <c r="C29" s="28">
        <v>0.67500000000000004</v>
      </c>
      <c r="D29" s="7">
        <v>1.5137700000000001</v>
      </c>
      <c r="F29" s="56"/>
    </row>
    <row r="30" spans="1:6" x14ac:dyDescent="0.2">
      <c r="C30" s="28">
        <v>0.7</v>
      </c>
      <c r="D30" s="7">
        <v>1.5335000000000001</v>
      </c>
      <c r="E30" s="55">
        <f>D30/B21 - 1</f>
        <v>3.1858592334312874E-3</v>
      </c>
      <c r="F30" s="56"/>
    </row>
    <row r="31" spans="1:6" x14ac:dyDescent="0.2">
      <c r="C31" s="28">
        <v>0.72499999999999998</v>
      </c>
      <c r="D31" s="7">
        <v>1.5525</v>
      </c>
      <c r="F31" s="56"/>
    </row>
    <row r="32" spans="1:6" x14ac:dyDescent="0.2">
      <c r="C32" s="28">
        <v>0.75</v>
      </c>
      <c r="D32" s="7">
        <v>1.57098</v>
      </c>
      <c r="F32" s="56"/>
    </row>
    <row r="33" spans="3:10" x14ac:dyDescent="0.2">
      <c r="C33" s="28">
        <v>0.77500000000000002</v>
      </c>
      <c r="D33" s="7">
        <v>1.58857</v>
      </c>
      <c r="F33" s="56"/>
    </row>
    <row r="34" spans="3:10" x14ac:dyDescent="0.2">
      <c r="C34" s="28">
        <v>0.8</v>
      </c>
      <c r="D34" s="7">
        <v>1.6052200000000001</v>
      </c>
      <c r="E34" s="55">
        <f>D34/B23 - 1</f>
        <v>3.1684529575353171E-3</v>
      </c>
      <c r="F34" s="56"/>
    </row>
    <row r="35" spans="3:10" x14ac:dyDescent="0.2">
      <c r="C35" s="28">
        <v>0.82499999999999996</v>
      </c>
      <c r="D35" s="7">
        <v>1.62131</v>
      </c>
      <c r="F35" s="56"/>
    </row>
    <row r="36" spans="3:10" x14ac:dyDescent="0.2">
      <c r="C36" s="28">
        <v>0.85</v>
      </c>
      <c r="D36" s="7">
        <v>1.63713</v>
      </c>
      <c r="F36" s="56"/>
    </row>
    <row r="37" spans="3:10" x14ac:dyDescent="0.2">
      <c r="C37" s="28">
        <v>0.875</v>
      </c>
      <c r="D37" s="7">
        <v>1.6525099999999999</v>
      </c>
      <c r="F37" s="56"/>
    </row>
    <row r="38" spans="3:10" x14ac:dyDescent="0.2">
      <c r="C38" s="28">
        <v>0.9</v>
      </c>
      <c r="D38" s="7">
        <v>1.6671100000000001</v>
      </c>
      <c r="E38" s="55">
        <f>D38/B25 - 1</f>
        <v>3.0746089049338288E-3</v>
      </c>
      <c r="F38" s="56"/>
    </row>
    <row r="39" spans="3:10" x14ac:dyDescent="0.2">
      <c r="C39" s="28">
        <v>0.92500000000000004</v>
      </c>
      <c r="D39" s="7">
        <v>1.68099</v>
      </c>
      <c r="F39" s="56"/>
    </row>
    <row r="40" spans="3:10" x14ac:dyDescent="0.2">
      <c r="C40" s="28">
        <v>0.95</v>
      </c>
      <c r="D40" s="7">
        <v>1.6943900000000001</v>
      </c>
      <c r="F40" s="56"/>
    </row>
    <row r="41" spans="3:10" x14ac:dyDescent="0.2">
      <c r="C41" s="28">
        <v>0.97499999999999998</v>
      </c>
      <c r="D41" s="7">
        <v>1.70739</v>
      </c>
      <c r="F41" s="56"/>
    </row>
    <row r="42" spans="3:10" ht="17" thickBot="1" x14ac:dyDescent="0.25">
      <c r="C42" s="29">
        <v>1</v>
      </c>
      <c r="D42" s="8">
        <v>1.7198899999999999</v>
      </c>
      <c r="E42" s="55">
        <f>D42/B27 - 1</f>
        <v>2.8220751581586878E-3</v>
      </c>
      <c r="F42" s="56"/>
    </row>
    <row r="46" spans="3:10" x14ac:dyDescent="0.2">
      <c r="I46" s="42"/>
      <c r="J46" s="42"/>
    </row>
    <row r="47" spans="3:10" x14ac:dyDescent="0.2">
      <c r="I47" s="42"/>
      <c r="J47" s="42"/>
    </row>
    <row r="48" spans="3:10" x14ac:dyDescent="0.2">
      <c r="I48" s="42"/>
      <c r="J48" s="42"/>
    </row>
    <row r="49" spans="9:10" x14ac:dyDescent="0.2">
      <c r="I49" s="42"/>
      <c r="J49" s="42"/>
    </row>
    <row r="50" spans="9:10" x14ac:dyDescent="0.2">
      <c r="I50" s="42"/>
      <c r="J50" s="42"/>
    </row>
    <row r="51" spans="9:10" x14ac:dyDescent="0.2">
      <c r="I51" s="42"/>
      <c r="J51" s="42"/>
    </row>
    <row r="52" spans="9:10" x14ac:dyDescent="0.2">
      <c r="I52" s="42"/>
      <c r="J52" s="42"/>
    </row>
    <row r="53" spans="9:10" x14ac:dyDescent="0.2">
      <c r="I53" s="42"/>
      <c r="J53" s="42"/>
    </row>
    <row r="54" spans="9:10" x14ac:dyDescent="0.2">
      <c r="I54" s="42"/>
      <c r="J54" s="42"/>
    </row>
    <row r="55" spans="9:10" x14ac:dyDescent="0.2">
      <c r="I55" s="42"/>
      <c r="J55" s="42"/>
    </row>
    <row r="56" spans="9:10" x14ac:dyDescent="0.2">
      <c r="I56" s="42"/>
      <c r="J56" s="42"/>
    </row>
    <row r="57" spans="9:10" x14ac:dyDescent="0.2">
      <c r="I57" s="42"/>
      <c r="J57" s="42"/>
    </row>
    <row r="58" spans="9:10" x14ac:dyDescent="0.2">
      <c r="I58" s="42"/>
      <c r="J58" s="42"/>
    </row>
    <row r="59" spans="9:10" x14ac:dyDescent="0.2">
      <c r="I59" s="42"/>
      <c r="J59" s="42"/>
    </row>
    <row r="60" spans="9:10" x14ac:dyDescent="0.2">
      <c r="I60" s="42"/>
      <c r="J60" s="42"/>
    </row>
    <row r="61" spans="9:10" x14ac:dyDescent="0.2">
      <c r="I61" s="42"/>
      <c r="J61" s="42"/>
    </row>
    <row r="62" spans="9:10" x14ac:dyDescent="0.2">
      <c r="I62" s="42"/>
      <c r="J62" s="42"/>
    </row>
    <row r="63" spans="9:10" x14ac:dyDescent="0.2">
      <c r="I63" s="42"/>
      <c r="J63" s="42"/>
    </row>
    <row r="64" spans="9:10" x14ac:dyDescent="0.2">
      <c r="I64" s="42"/>
      <c r="J64" s="42"/>
    </row>
    <row r="65" spans="9:10" x14ac:dyDescent="0.2">
      <c r="I65" s="42"/>
      <c r="J65" s="42"/>
    </row>
    <row r="66" spans="9:10" x14ac:dyDescent="0.2">
      <c r="I66" s="42"/>
      <c r="J66" s="42"/>
    </row>
    <row r="67" spans="9:10" x14ac:dyDescent="0.2">
      <c r="I67" s="42"/>
      <c r="J67" s="42"/>
    </row>
    <row r="68" spans="9:10" x14ac:dyDescent="0.2">
      <c r="I68" s="42"/>
      <c r="J68" s="42"/>
    </row>
    <row r="69" spans="9:10" x14ac:dyDescent="0.2">
      <c r="I69" s="42"/>
      <c r="J69" s="42"/>
    </row>
    <row r="70" spans="9:10" x14ac:dyDescent="0.2">
      <c r="I70" s="42"/>
      <c r="J70" s="42"/>
    </row>
    <row r="71" spans="9:10" x14ac:dyDescent="0.2">
      <c r="I71" s="42"/>
      <c r="J71" s="42"/>
    </row>
    <row r="72" spans="9:10" x14ac:dyDescent="0.2">
      <c r="I72" s="42"/>
      <c r="J72" s="42"/>
    </row>
    <row r="73" spans="9:10" x14ac:dyDescent="0.2">
      <c r="I73" s="42"/>
      <c r="J73" s="42"/>
    </row>
    <row r="104" spans="7:8" x14ac:dyDescent="0.2">
      <c r="G104" s="42"/>
      <c r="H104" s="42"/>
    </row>
    <row r="105" spans="7:8" x14ac:dyDescent="0.2">
      <c r="G105" s="42"/>
      <c r="H105" s="42"/>
    </row>
    <row r="106" spans="7:8" x14ac:dyDescent="0.2">
      <c r="G106" s="42"/>
      <c r="H106" s="42"/>
    </row>
    <row r="107" spans="7:8" x14ac:dyDescent="0.2">
      <c r="G107" s="42"/>
      <c r="H107" s="42"/>
    </row>
    <row r="108" spans="7:8" x14ac:dyDescent="0.2">
      <c r="G108" s="42"/>
      <c r="H108" s="42"/>
    </row>
    <row r="109" spans="7:8" x14ac:dyDescent="0.2">
      <c r="G109" s="42"/>
      <c r="H109" s="42"/>
    </row>
    <row r="110" spans="7:8" x14ac:dyDescent="0.2">
      <c r="G110" s="42"/>
      <c r="H110" s="42"/>
    </row>
    <row r="111" spans="7:8" x14ac:dyDescent="0.2">
      <c r="G111" s="42"/>
      <c r="H111" s="42"/>
    </row>
    <row r="112" spans="7:8" x14ac:dyDescent="0.2">
      <c r="G112" s="42"/>
      <c r="H112" s="42"/>
    </row>
    <row r="113" spans="7:8" x14ac:dyDescent="0.2">
      <c r="G113" s="42"/>
      <c r="H113" s="42"/>
    </row>
    <row r="114" spans="7:8" x14ac:dyDescent="0.2">
      <c r="G114" s="42"/>
      <c r="H114" s="42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AA68-BE01-1E48-87E8-5C0C175F5E51}">
  <dimension ref="A1:P138"/>
  <sheetViews>
    <sheetView topLeftCell="A13" zoomScaleNormal="100" workbookViewId="0">
      <selection activeCell="H55" sqref="H55"/>
    </sheetView>
  </sheetViews>
  <sheetFormatPr baseColWidth="10" defaultRowHeight="16" x14ac:dyDescent="0.2"/>
  <sheetData>
    <row r="1" spans="1:10" ht="17" thickBot="1" x14ac:dyDescent="0.25">
      <c r="A1" s="77" t="s">
        <v>29</v>
      </c>
      <c r="B1" s="78"/>
      <c r="C1" s="78"/>
      <c r="D1" s="79"/>
      <c r="E1" s="80" t="s">
        <v>24</v>
      </c>
      <c r="F1" s="81"/>
      <c r="G1" s="81"/>
      <c r="H1" s="82"/>
    </row>
    <row r="2" spans="1:10" ht="17" thickBot="1" x14ac:dyDescent="0.25">
      <c r="A2" s="20" t="s">
        <v>26</v>
      </c>
      <c r="B2" s="21" t="s">
        <v>25</v>
      </c>
      <c r="C2" s="20" t="s">
        <v>27</v>
      </c>
      <c r="D2" s="21" t="s">
        <v>28</v>
      </c>
      <c r="E2" s="49" t="s">
        <v>26</v>
      </c>
      <c r="F2" s="50" t="s">
        <v>25</v>
      </c>
      <c r="G2" s="49" t="s">
        <v>27</v>
      </c>
      <c r="H2" s="50" t="s">
        <v>28</v>
      </c>
    </row>
    <row r="3" spans="1:10" x14ac:dyDescent="0.2">
      <c r="A3" s="46">
        <v>0</v>
      </c>
      <c r="B3" s="37">
        <v>0</v>
      </c>
      <c r="C3" s="31">
        <v>0</v>
      </c>
      <c r="D3" s="19">
        <v>0</v>
      </c>
      <c r="E3" s="46">
        <v>0</v>
      </c>
      <c r="F3" s="37">
        <v>0</v>
      </c>
      <c r="G3" s="31">
        <v>0</v>
      </c>
      <c r="H3" s="19">
        <v>0</v>
      </c>
    </row>
    <row r="4" spans="1:10" x14ac:dyDescent="0.2">
      <c r="A4" s="47">
        <v>155.10000000000002</v>
      </c>
      <c r="B4" s="39">
        <v>1.8460000000000001</v>
      </c>
      <c r="C4" s="28">
        <v>9.9137400000000007</v>
      </c>
      <c r="D4" s="7">
        <v>0.103867</v>
      </c>
      <c r="E4" s="47">
        <v>263.10000000000002</v>
      </c>
      <c r="F4" s="39">
        <v>0.69299999999999995</v>
      </c>
      <c r="G4" s="47">
        <v>9.9848800000000004</v>
      </c>
      <c r="H4" s="7">
        <v>2.5475000000000001E-2</v>
      </c>
      <c r="I4" s="42"/>
      <c r="J4" s="42"/>
    </row>
    <row r="5" spans="1:10" x14ac:dyDescent="0.2">
      <c r="A5" s="47">
        <v>354.6</v>
      </c>
      <c r="B5" s="39">
        <v>5.2709999999999999</v>
      </c>
      <c r="C5" s="28">
        <v>23.642700000000001</v>
      </c>
      <c r="D5" s="7">
        <v>0.25043199999999999</v>
      </c>
      <c r="E5" s="47">
        <v>594</v>
      </c>
      <c r="F5" s="39">
        <v>1.6379999999999999</v>
      </c>
      <c r="G5" s="47">
        <v>24.054099999999998</v>
      </c>
      <c r="H5" s="7">
        <v>6.1476700000000002E-2</v>
      </c>
      <c r="I5" s="42"/>
      <c r="J5" s="42"/>
    </row>
    <row r="6" spans="1:10" x14ac:dyDescent="0.2">
      <c r="A6" s="47">
        <v>474.9</v>
      </c>
      <c r="B6" s="39">
        <v>8.2569999999999997</v>
      </c>
      <c r="C6" s="28">
        <v>39.0792</v>
      </c>
      <c r="D6" s="7">
        <v>0.41917300000000002</v>
      </c>
      <c r="E6" s="47">
        <v>1041.9000000000001</v>
      </c>
      <c r="F6" s="39">
        <v>3.0870000000000002</v>
      </c>
      <c r="G6" s="47">
        <v>43.848199999999999</v>
      </c>
      <c r="H6" s="7">
        <v>0.11234</v>
      </c>
      <c r="I6" s="42"/>
      <c r="J6" s="42"/>
    </row>
    <row r="7" spans="1:10" x14ac:dyDescent="0.2">
      <c r="A7" s="47">
        <v>551.1</v>
      </c>
      <c r="B7" s="39">
        <v>10.798999999999999</v>
      </c>
      <c r="C7" s="28">
        <v>56.362099999999998</v>
      </c>
      <c r="D7" s="7">
        <v>0.61332299999999995</v>
      </c>
      <c r="E7" s="47">
        <v>1405.8</v>
      </c>
      <c r="F7" s="39">
        <v>4.4770000000000003</v>
      </c>
      <c r="G7" s="47">
        <v>71.636600000000001</v>
      </c>
      <c r="H7" s="7">
        <v>0.184168</v>
      </c>
      <c r="I7" s="42"/>
      <c r="J7" s="42"/>
    </row>
    <row r="8" spans="1:10" x14ac:dyDescent="0.2">
      <c r="A8" s="47">
        <v>574.19999999999993</v>
      </c>
      <c r="B8" s="39">
        <v>11.904</v>
      </c>
      <c r="C8" s="28">
        <v>75.617599999999996</v>
      </c>
      <c r="D8" s="7">
        <v>0.83653100000000002</v>
      </c>
      <c r="E8" s="47">
        <v>1694.1</v>
      </c>
      <c r="F8" s="39">
        <v>5.8019999999999996</v>
      </c>
      <c r="G8" s="47">
        <v>110.52800000000001</v>
      </c>
      <c r="H8" s="7">
        <v>0.28554200000000002</v>
      </c>
      <c r="I8" s="42"/>
      <c r="J8" s="42"/>
    </row>
    <row r="9" spans="1:10" x14ac:dyDescent="0.2">
      <c r="A9" s="51">
        <v>585.9</v>
      </c>
      <c r="B9" s="52">
        <v>12.891999999999999</v>
      </c>
      <c r="C9" s="28">
        <v>96.95</v>
      </c>
      <c r="D9" s="7">
        <v>1.0928899999999999</v>
      </c>
      <c r="E9" s="47">
        <v>1914.3</v>
      </c>
      <c r="F9" s="39">
        <v>7.0570000000000004</v>
      </c>
      <c r="G9" s="47">
        <v>154.84800000000001</v>
      </c>
      <c r="H9" s="7">
        <v>0.40229599999999999</v>
      </c>
      <c r="I9" s="42"/>
      <c r="J9" s="42"/>
    </row>
    <row r="10" spans="1:10" x14ac:dyDescent="0.2">
      <c r="A10" s="47">
        <v>585</v>
      </c>
      <c r="B10" s="39">
        <v>13.752000000000001</v>
      </c>
      <c r="C10" s="28">
        <v>120.431</v>
      </c>
      <c r="D10" s="7">
        <v>1.38697</v>
      </c>
      <c r="E10" s="47">
        <v>2072.4</v>
      </c>
      <c r="F10" s="39">
        <v>8.2370000000000001</v>
      </c>
      <c r="G10" s="47">
        <v>205.24600000000001</v>
      </c>
      <c r="H10" s="7">
        <v>0.53670499999999999</v>
      </c>
      <c r="I10" s="42"/>
      <c r="J10" s="42"/>
    </row>
    <row r="11" spans="1:10" x14ac:dyDescent="0.2">
      <c r="A11" s="47">
        <v>570.29999999999995</v>
      </c>
      <c r="B11" s="39">
        <v>14.472</v>
      </c>
      <c r="C11" s="28">
        <v>146.08799999999999</v>
      </c>
      <c r="D11" s="7">
        <v>1.7237899999999999</v>
      </c>
      <c r="E11" s="47">
        <v>2173.8000000000002</v>
      </c>
      <c r="F11" s="39">
        <v>9.3390000000000004</v>
      </c>
      <c r="G11" s="47">
        <v>262.41500000000002</v>
      </c>
      <c r="H11" s="7">
        <v>0.691361</v>
      </c>
      <c r="I11" s="42"/>
      <c r="J11" s="42"/>
    </row>
    <row r="12" spans="1:10" x14ac:dyDescent="0.2">
      <c r="A12" s="47">
        <v>541.80000000000007</v>
      </c>
      <c r="B12" s="39">
        <v>15.05</v>
      </c>
      <c r="C12" s="28">
        <v>173.893</v>
      </c>
      <c r="D12" s="7">
        <v>2.1088399999999998</v>
      </c>
      <c r="E12" s="47">
        <v>2223.6</v>
      </c>
      <c r="F12" s="39">
        <v>10.358000000000001</v>
      </c>
      <c r="G12" s="47">
        <v>327.077</v>
      </c>
      <c r="H12" s="7">
        <v>0.86920500000000001</v>
      </c>
      <c r="I12" s="42"/>
      <c r="J12" s="42"/>
    </row>
    <row r="13" spans="1:10" x14ac:dyDescent="0.2">
      <c r="A13" s="47">
        <v>501.3</v>
      </c>
      <c r="B13" s="39">
        <v>15.500999999999999</v>
      </c>
      <c r="C13" s="28">
        <v>203.75399999999999</v>
      </c>
      <c r="D13" s="7">
        <v>2.5479599999999998</v>
      </c>
      <c r="E13" s="51">
        <v>2226.2999999999997</v>
      </c>
      <c r="F13" s="52">
        <v>11.292999999999999</v>
      </c>
      <c r="G13" s="47">
        <v>399.96699999999998</v>
      </c>
      <c r="H13" s="7">
        <v>1.0735699999999999</v>
      </c>
      <c r="I13" s="42"/>
      <c r="J13" s="42"/>
    </row>
    <row r="14" spans="1:10" x14ac:dyDescent="0.2">
      <c r="A14" s="47">
        <v>396.9</v>
      </c>
      <c r="B14" s="39">
        <v>16.145</v>
      </c>
      <c r="C14" s="28">
        <v>235.512</v>
      </c>
      <c r="D14" s="7">
        <v>3.0472800000000002</v>
      </c>
      <c r="E14" s="47">
        <v>2185.8000000000002</v>
      </c>
      <c r="F14" s="39">
        <v>12.141</v>
      </c>
      <c r="G14" s="47">
        <v>481.80599999999998</v>
      </c>
      <c r="H14" s="7">
        <v>1.3082100000000001</v>
      </c>
      <c r="I14" s="42"/>
      <c r="J14" s="42"/>
    </row>
    <row r="15" spans="1:10" x14ac:dyDescent="0.2">
      <c r="A15" s="47">
        <v>276.89999999999998</v>
      </c>
      <c r="B15" s="39">
        <v>16.602</v>
      </c>
      <c r="C15" s="28">
        <v>268.947</v>
      </c>
      <c r="D15" s="7">
        <v>3.6130300000000002</v>
      </c>
      <c r="E15" s="47">
        <v>2106.9</v>
      </c>
      <c r="F15" s="39">
        <v>12.903</v>
      </c>
      <c r="G15" s="47">
        <v>573.26</v>
      </c>
      <c r="H15" s="7">
        <v>1.5773299999999999</v>
      </c>
      <c r="I15" s="42"/>
      <c r="J15" s="42"/>
    </row>
    <row r="16" spans="1:10" x14ac:dyDescent="0.2">
      <c r="A16" s="47">
        <v>151.19999999999999</v>
      </c>
      <c r="B16" s="39">
        <v>16.914999999999999</v>
      </c>
      <c r="C16" s="28">
        <v>303.79199999999997</v>
      </c>
      <c r="D16" s="7">
        <v>4.2512699999999999</v>
      </c>
      <c r="E16" s="47">
        <v>1994.7</v>
      </c>
      <c r="F16" s="39">
        <v>13.583</v>
      </c>
      <c r="G16" s="47">
        <v>674.89400000000001</v>
      </c>
      <c r="H16" s="7">
        <v>1.8856299999999999</v>
      </c>
      <c r="I16" s="42"/>
      <c r="J16" s="42"/>
    </row>
    <row r="17" spans="1:10" x14ac:dyDescent="0.2">
      <c r="A17" s="47">
        <v>24.9</v>
      </c>
      <c r="B17" s="39">
        <v>17.007999999999999</v>
      </c>
      <c r="C17" s="28">
        <v>339.75799999999998</v>
      </c>
      <c r="D17" s="7">
        <v>4.9675799999999999</v>
      </c>
      <c r="E17" s="47">
        <v>1854.6</v>
      </c>
      <c r="F17" s="39">
        <v>14.188000000000001</v>
      </c>
      <c r="G17" s="47">
        <v>787.09299999999996</v>
      </c>
      <c r="H17" s="7">
        <v>2.2382900000000001</v>
      </c>
      <c r="I17" s="42"/>
      <c r="J17" s="42"/>
    </row>
    <row r="18" spans="1:10" x14ac:dyDescent="0.2">
      <c r="A18" s="47">
        <v>-93.6</v>
      </c>
      <c r="B18" s="39">
        <v>16.696999999999999</v>
      </c>
      <c r="C18" s="28">
        <v>376.54700000000003</v>
      </c>
      <c r="D18" s="7">
        <v>5.7666500000000003</v>
      </c>
      <c r="E18" s="47">
        <v>1692.9</v>
      </c>
      <c r="F18" s="39">
        <v>14.728</v>
      </c>
      <c r="G18" s="47">
        <v>909.976</v>
      </c>
      <c r="H18" s="7">
        <v>2.6409699999999998</v>
      </c>
      <c r="I18" s="42"/>
      <c r="J18" s="42"/>
    </row>
    <row r="19" spans="1:10" x14ac:dyDescent="0.2">
      <c r="A19" s="47">
        <v>-186.6</v>
      </c>
      <c r="B19" s="39">
        <v>15.78</v>
      </c>
      <c r="C19" s="28">
        <v>409.13600000000002</v>
      </c>
      <c r="D19" s="7">
        <v>6.5354799999999997</v>
      </c>
      <c r="E19" s="47">
        <v>1516.4999999999998</v>
      </c>
      <c r="F19" s="39">
        <v>15.217000000000001</v>
      </c>
      <c r="G19" s="47">
        <v>1043.27</v>
      </c>
      <c r="H19" s="7">
        <v>3.0997699999999999</v>
      </c>
      <c r="I19" s="42"/>
      <c r="J19" s="42"/>
    </row>
    <row r="20" spans="1:10" x14ac:dyDescent="0.2">
      <c r="A20" s="47">
        <v>-221.7</v>
      </c>
      <c r="B20" s="39">
        <v>15.206</v>
      </c>
      <c r="C20" s="28">
        <v>438.209</v>
      </c>
      <c r="D20" s="7">
        <v>7.2743099999999998</v>
      </c>
      <c r="E20" s="47">
        <v>1332.6</v>
      </c>
      <c r="F20" s="39">
        <v>15.676</v>
      </c>
      <c r="G20" s="47">
        <v>1186.18</v>
      </c>
      <c r="H20" s="7">
        <v>3.6211000000000002</v>
      </c>
      <c r="I20" s="42"/>
      <c r="J20" s="42"/>
    </row>
    <row r="21" spans="1:10" x14ac:dyDescent="0.2">
      <c r="A21" s="47">
        <v>-258.3</v>
      </c>
      <c r="B21" s="39">
        <v>14.766999999999999</v>
      </c>
      <c r="C21" s="28">
        <v>464.24799999999999</v>
      </c>
      <c r="D21" s="7">
        <v>7.9835500000000001</v>
      </c>
      <c r="E21" s="47">
        <v>1149</v>
      </c>
      <c r="F21" s="39">
        <v>16.125</v>
      </c>
      <c r="G21" s="47">
        <v>1337.16</v>
      </c>
      <c r="H21" s="7">
        <v>4.2115400000000003</v>
      </c>
      <c r="I21" s="42"/>
      <c r="J21" s="42"/>
    </row>
    <row r="22" spans="1:10" x14ac:dyDescent="0.2">
      <c r="A22" s="47">
        <v>-300.3</v>
      </c>
      <c r="B22" s="39">
        <v>14.52</v>
      </c>
      <c r="C22" s="28">
        <v>487.56900000000002</v>
      </c>
      <c r="D22" s="7">
        <v>8.66371</v>
      </c>
      <c r="E22" s="47">
        <v>973.5</v>
      </c>
      <c r="F22" s="39">
        <v>16.59</v>
      </c>
      <c r="G22" s="47">
        <v>1493.73</v>
      </c>
      <c r="H22" s="7">
        <v>4.8774800000000003</v>
      </c>
      <c r="I22" s="42"/>
      <c r="J22" s="42"/>
    </row>
    <row r="23" spans="1:10" x14ac:dyDescent="0.2">
      <c r="A23" s="47">
        <v>-342.59999999999997</v>
      </c>
      <c r="B23" s="39">
        <v>14.451000000000001</v>
      </c>
      <c r="C23" s="28">
        <v>508.36200000000002</v>
      </c>
      <c r="D23" s="7">
        <v>9.3152399999999993</v>
      </c>
      <c r="E23" s="47">
        <v>815.1</v>
      </c>
      <c r="F23" s="39">
        <v>17.094000000000001</v>
      </c>
      <c r="G23" s="47">
        <v>1652.2</v>
      </c>
      <c r="H23" s="7">
        <v>5.6246999999999998</v>
      </c>
      <c r="I23" s="42"/>
      <c r="J23" s="42"/>
    </row>
    <row r="24" spans="1:10" x14ac:dyDescent="0.2">
      <c r="A24" s="47">
        <v>-374.1</v>
      </c>
      <c r="B24" s="39">
        <v>14.862</v>
      </c>
      <c r="C24" s="28">
        <v>526.71699999999998</v>
      </c>
      <c r="D24" s="7">
        <v>9.9385200000000005</v>
      </c>
      <c r="E24" s="47">
        <v>681.6</v>
      </c>
      <c r="F24" s="39">
        <v>17.657</v>
      </c>
      <c r="G24" s="47">
        <v>1807.32</v>
      </c>
      <c r="H24" s="7">
        <v>6.4576200000000004</v>
      </c>
      <c r="I24" s="42"/>
      <c r="J24" s="42"/>
    </row>
    <row r="25" spans="1:10" x14ac:dyDescent="0.2">
      <c r="A25" s="47">
        <v>-386.4</v>
      </c>
      <c r="B25" s="39">
        <v>15.778</v>
      </c>
      <c r="C25" s="28">
        <v>542.65200000000004</v>
      </c>
      <c r="D25" s="7">
        <v>10.5337</v>
      </c>
      <c r="E25" s="47">
        <v>582</v>
      </c>
      <c r="F25" s="39">
        <v>18.298999999999999</v>
      </c>
      <c r="G25" s="47">
        <v>1951.96</v>
      </c>
      <c r="H25" s="7">
        <v>7.3782399999999999</v>
      </c>
      <c r="I25" s="42"/>
      <c r="J25" s="42"/>
    </row>
    <row r="26" spans="1:10" x14ac:dyDescent="0.2">
      <c r="A26" s="47">
        <v>-381.29999999999995</v>
      </c>
      <c r="B26" s="39">
        <v>16.960999999999999</v>
      </c>
      <c r="C26" s="28">
        <v>556.12199999999996</v>
      </c>
      <c r="D26" s="7">
        <v>11.1007</v>
      </c>
      <c r="E26" s="47">
        <v>525</v>
      </c>
      <c r="F26" s="39">
        <v>19.027999999999999</v>
      </c>
      <c r="G26" s="47">
        <v>2062.41</v>
      </c>
      <c r="H26" s="7">
        <v>8.2533799999999999</v>
      </c>
      <c r="I26" s="42"/>
      <c r="J26" s="42"/>
    </row>
    <row r="27" spans="1:10" x14ac:dyDescent="0.2">
      <c r="A27" s="47">
        <v>-358.8</v>
      </c>
      <c r="B27" s="39">
        <v>18.32</v>
      </c>
      <c r="C27" s="28">
        <v>567.04300000000001</v>
      </c>
      <c r="D27" s="7">
        <v>11.6393</v>
      </c>
      <c r="E27" s="47">
        <v>518.70000000000005</v>
      </c>
      <c r="F27" s="39">
        <v>19.852</v>
      </c>
      <c r="G27" s="47">
        <v>2141.2600000000002</v>
      </c>
      <c r="H27" s="7">
        <v>9.0818100000000008</v>
      </c>
      <c r="I27" s="42"/>
      <c r="J27" s="42"/>
    </row>
    <row r="28" spans="1:10" x14ac:dyDescent="0.2">
      <c r="A28" s="47">
        <v>-316.5</v>
      </c>
      <c r="B28" s="39">
        <v>19.817</v>
      </c>
      <c r="C28" s="28">
        <v>575.29499999999996</v>
      </c>
      <c r="D28" s="7">
        <v>12.1488</v>
      </c>
      <c r="E28" s="47">
        <v>571.5</v>
      </c>
      <c r="F28" s="39">
        <v>20.771000000000001</v>
      </c>
      <c r="G28" s="47">
        <v>2190.81</v>
      </c>
      <c r="H28" s="7">
        <v>9.8625100000000003</v>
      </c>
      <c r="I28" s="42"/>
      <c r="J28" s="42"/>
    </row>
    <row r="29" spans="1:10" x14ac:dyDescent="0.2">
      <c r="A29" s="47">
        <v>-247.5</v>
      </c>
      <c r="B29" s="39">
        <v>21.42</v>
      </c>
      <c r="C29" s="28">
        <v>580.73800000000006</v>
      </c>
      <c r="D29" s="7">
        <v>12.6282</v>
      </c>
      <c r="E29" s="47">
        <v>690.9</v>
      </c>
      <c r="F29" s="39">
        <v>21.78</v>
      </c>
      <c r="G29" s="51">
        <v>2213.1999999999998</v>
      </c>
      <c r="H29" s="54">
        <v>10.5947</v>
      </c>
      <c r="I29" s="42"/>
      <c r="J29" s="42"/>
    </row>
    <row r="30" spans="1:10" x14ac:dyDescent="0.2">
      <c r="A30" s="47">
        <v>-145.19999999999999</v>
      </c>
      <c r="B30" s="39">
        <v>23.1</v>
      </c>
      <c r="C30" s="53">
        <v>583.22500000000002</v>
      </c>
      <c r="D30" s="54">
        <v>13.076499999999999</v>
      </c>
      <c r="E30" s="47">
        <v>885</v>
      </c>
      <c r="F30" s="39">
        <v>22.875</v>
      </c>
      <c r="G30" s="47">
        <v>2210.44</v>
      </c>
      <c r="H30" s="7">
        <v>11.277900000000001</v>
      </c>
      <c r="I30" s="42"/>
      <c r="J30" s="42"/>
    </row>
    <row r="31" spans="1:10" x14ac:dyDescent="0.2">
      <c r="A31" s="47">
        <v>-1.7999999999999998</v>
      </c>
      <c r="B31" s="39">
        <v>24.824000000000002</v>
      </c>
      <c r="C31" s="28">
        <v>582.61800000000005</v>
      </c>
      <c r="D31" s="7">
        <v>13.4924</v>
      </c>
      <c r="E31" s="47">
        <v>1161.3</v>
      </c>
      <c r="F31" s="39">
        <v>24.048999999999999</v>
      </c>
      <c r="G31" s="47">
        <v>2184.4699999999998</v>
      </c>
      <c r="H31" s="7">
        <v>11.912100000000001</v>
      </c>
      <c r="I31" s="42"/>
      <c r="J31" s="42"/>
    </row>
    <row r="32" spans="1:10" x14ac:dyDescent="0.2">
      <c r="A32" s="47">
        <v>187.8</v>
      </c>
      <c r="B32" s="39">
        <v>26.565000000000001</v>
      </c>
      <c r="C32" s="28">
        <v>578.81399999999996</v>
      </c>
      <c r="D32" s="7">
        <v>13.8748</v>
      </c>
      <c r="E32" s="47">
        <v>1332.8999999999999</v>
      </c>
      <c r="F32" s="39">
        <v>24.663</v>
      </c>
      <c r="G32" s="47">
        <v>2137.27</v>
      </c>
      <c r="H32" s="7">
        <v>12.4978</v>
      </c>
      <c r="I32" s="42"/>
      <c r="J32" s="42"/>
    </row>
    <row r="33" spans="1:16" x14ac:dyDescent="0.2">
      <c r="A33" s="47">
        <v>428.09999999999997</v>
      </c>
      <c r="B33" s="39">
        <v>28.302</v>
      </c>
      <c r="C33" s="28">
        <v>571.76499999999999</v>
      </c>
      <c r="D33" s="7">
        <v>14.2227</v>
      </c>
      <c r="E33" s="47">
        <v>1527.8999999999999</v>
      </c>
      <c r="F33" s="39">
        <v>25.292999999999999</v>
      </c>
      <c r="G33" s="47">
        <v>2070.87</v>
      </c>
      <c r="H33" s="7">
        <v>13.036300000000001</v>
      </c>
      <c r="I33" s="42"/>
      <c r="J33" s="42"/>
    </row>
    <row r="34" spans="1:16" x14ac:dyDescent="0.2">
      <c r="A34" s="47">
        <v>720.90000000000009</v>
      </c>
      <c r="B34" s="39">
        <v>30.023</v>
      </c>
      <c r="C34" s="28">
        <v>561.50900000000001</v>
      </c>
      <c r="D34" s="7">
        <v>14.536199999999999</v>
      </c>
      <c r="E34" s="47">
        <v>1747.8</v>
      </c>
      <c r="F34" s="39">
        <v>25.94</v>
      </c>
      <c r="G34" s="47">
        <v>1987.43</v>
      </c>
      <c r="H34" s="7">
        <v>13.529500000000001</v>
      </c>
      <c r="I34" s="42"/>
      <c r="J34" s="42"/>
      <c r="K34" s="42"/>
      <c r="L34" s="42"/>
      <c r="M34" s="42"/>
      <c r="O34" s="42"/>
      <c r="P34" s="42"/>
    </row>
    <row r="35" spans="1:16" x14ac:dyDescent="0.2">
      <c r="A35" s="47">
        <v>1067.7</v>
      </c>
      <c r="B35" s="39">
        <v>31.72</v>
      </c>
      <c r="C35" s="28">
        <v>548.18200000000002</v>
      </c>
      <c r="D35" s="7">
        <v>14.8163</v>
      </c>
      <c r="E35" s="47">
        <v>1993.2</v>
      </c>
      <c r="F35" s="39">
        <v>26.600999999999999</v>
      </c>
      <c r="G35" s="47">
        <v>1889.21</v>
      </c>
      <c r="H35" s="7">
        <v>13.980499999999999</v>
      </c>
      <c r="I35" s="42"/>
      <c r="J35" s="42"/>
      <c r="K35" s="42"/>
      <c r="L35" s="42"/>
      <c r="M35" s="42"/>
      <c r="O35" s="42"/>
      <c r="P35" s="42"/>
    </row>
    <row r="36" spans="1:16" x14ac:dyDescent="0.2">
      <c r="A36" s="47">
        <v>1469.4</v>
      </c>
      <c r="B36" s="39">
        <v>33.387999999999998</v>
      </c>
      <c r="C36" s="28">
        <v>532.01599999999996</v>
      </c>
      <c r="D36" s="7">
        <v>15.065200000000001</v>
      </c>
      <c r="E36" s="47">
        <v>2265.3000000000002</v>
      </c>
      <c r="F36" s="39">
        <v>27.276</v>
      </c>
      <c r="G36" s="47">
        <v>1778.63</v>
      </c>
      <c r="H36" s="7">
        <v>14.3934</v>
      </c>
      <c r="I36" s="42"/>
      <c r="J36" s="42"/>
      <c r="K36" s="42"/>
      <c r="L36" s="42"/>
      <c r="M36" s="42"/>
      <c r="O36" s="42"/>
      <c r="P36" s="42"/>
    </row>
    <row r="37" spans="1:16" x14ac:dyDescent="0.2">
      <c r="A37" s="47">
        <v>1925.1000000000001</v>
      </c>
      <c r="B37" s="39">
        <v>35.024000000000001</v>
      </c>
      <c r="C37" s="28">
        <v>513.31399999999996</v>
      </c>
      <c r="D37" s="7">
        <v>15.286</v>
      </c>
      <c r="E37" s="47">
        <v>2564.6999999999998</v>
      </c>
      <c r="F37" s="39">
        <v>27.963999999999999</v>
      </c>
      <c r="G37" s="47">
        <v>1658.24</v>
      </c>
      <c r="H37" s="7">
        <v>14.7735</v>
      </c>
      <c r="I37" s="42"/>
      <c r="J37" s="42"/>
      <c r="K37" s="42"/>
      <c r="L37" s="42"/>
      <c r="M37" s="42"/>
      <c r="O37" s="42"/>
      <c r="P37" s="42"/>
    </row>
    <row r="38" spans="1:16" x14ac:dyDescent="0.2">
      <c r="A38" s="47">
        <v>2434.1999999999998</v>
      </c>
      <c r="B38" s="39">
        <v>36.625999999999998</v>
      </c>
      <c r="C38" s="28">
        <v>492.42099999999999</v>
      </c>
      <c r="D38" s="7">
        <v>15.4824</v>
      </c>
      <c r="E38" s="47">
        <v>2892.9</v>
      </c>
      <c r="F38" s="39">
        <v>28.663</v>
      </c>
      <c r="G38" s="47">
        <v>1530.7</v>
      </c>
      <c r="H38" s="7">
        <v>15.1271</v>
      </c>
      <c r="I38" s="42"/>
      <c r="J38" s="42"/>
      <c r="K38" s="42"/>
      <c r="L38" s="42"/>
      <c r="M38" s="42"/>
      <c r="O38" s="42"/>
      <c r="P38" s="42"/>
    </row>
    <row r="39" spans="1:16" ht="17" thickBot="1" x14ac:dyDescent="0.25">
      <c r="A39" s="48">
        <v>3093.9</v>
      </c>
      <c r="B39" s="41">
        <v>38.450000000000003</v>
      </c>
      <c r="C39" s="28">
        <v>469.685</v>
      </c>
      <c r="D39" s="7">
        <v>15.6585</v>
      </c>
      <c r="E39" s="48">
        <v>3250.4999999999995</v>
      </c>
      <c r="F39" s="41">
        <v>29.373999999999999</v>
      </c>
      <c r="G39" s="48">
        <v>1398.76</v>
      </c>
      <c r="H39" s="7">
        <v>15.4617</v>
      </c>
      <c r="I39" s="42"/>
      <c r="J39" s="42"/>
      <c r="K39" s="42"/>
      <c r="L39" s="42"/>
      <c r="M39" s="42"/>
      <c r="O39" s="42"/>
      <c r="P39" s="42"/>
    </row>
    <row r="40" spans="1:16" x14ac:dyDescent="0.2">
      <c r="C40" s="28">
        <v>445.43400000000003</v>
      </c>
      <c r="D40" s="7">
        <v>15.8177</v>
      </c>
      <c r="G40" s="47">
        <v>1244.68</v>
      </c>
      <c r="H40" s="7">
        <v>15.835599999999999</v>
      </c>
      <c r="I40" s="42"/>
      <c r="J40" s="42"/>
      <c r="K40" s="42"/>
      <c r="L40" s="42"/>
      <c r="M40" s="42"/>
      <c r="O40" s="42"/>
      <c r="P40" s="42"/>
    </row>
    <row r="41" spans="1:16" x14ac:dyDescent="0.2">
      <c r="C41" s="28">
        <v>415.92099999999999</v>
      </c>
      <c r="D41" s="7">
        <v>15.9846</v>
      </c>
      <c r="E41" s="42"/>
      <c r="G41" s="47">
        <v>1070.1500000000001</v>
      </c>
      <c r="H41" s="7">
        <v>16.2684</v>
      </c>
      <c r="I41" s="42"/>
      <c r="J41" s="42"/>
      <c r="K41" s="42"/>
      <c r="L41" s="42"/>
      <c r="M41" s="42"/>
      <c r="O41" s="42"/>
      <c r="P41" s="42"/>
    </row>
    <row r="42" spans="1:16" x14ac:dyDescent="0.2">
      <c r="C42" s="28">
        <v>380.29199999999997</v>
      </c>
      <c r="D42" s="7">
        <v>16.159400000000002</v>
      </c>
      <c r="G42" s="47">
        <v>882.22299999999996</v>
      </c>
      <c r="H42" s="7">
        <v>16.798100000000002</v>
      </c>
      <c r="I42" s="42"/>
      <c r="J42" s="42"/>
      <c r="K42" s="42"/>
      <c r="L42" s="42"/>
      <c r="M42" s="42"/>
      <c r="O42" s="42"/>
      <c r="P42" s="42"/>
    </row>
    <row r="43" spans="1:16" x14ac:dyDescent="0.2">
      <c r="C43" s="28">
        <v>343.428</v>
      </c>
      <c r="D43" s="7">
        <v>16.3187</v>
      </c>
      <c r="G43" s="47">
        <v>720.06100000000004</v>
      </c>
      <c r="H43" s="7">
        <v>17.3919</v>
      </c>
      <c r="I43" s="61" t="s">
        <v>39</v>
      </c>
      <c r="J43" s="42"/>
      <c r="K43" s="42"/>
      <c r="L43" s="42"/>
      <c r="M43" s="42"/>
      <c r="O43" s="42"/>
      <c r="P43" s="42"/>
    </row>
    <row r="44" spans="1:16" x14ac:dyDescent="0.2">
      <c r="C44" s="28">
        <v>305.67200000000003</v>
      </c>
      <c r="D44" s="7">
        <v>16.464400000000001</v>
      </c>
      <c r="G44" s="47">
        <v>595.86</v>
      </c>
      <c r="H44" s="7">
        <v>18.078600000000002</v>
      </c>
      <c r="I44" s="42"/>
      <c r="J44" s="42"/>
      <c r="K44" s="42"/>
      <c r="L44" s="42"/>
      <c r="M44" s="42"/>
      <c r="O44" s="42"/>
      <c r="P44" s="42"/>
    </row>
    <row r="45" spans="1:16" x14ac:dyDescent="0.2">
      <c r="C45" s="28">
        <v>267.279</v>
      </c>
      <c r="D45" s="7">
        <v>16.597300000000001</v>
      </c>
      <c r="G45" s="47">
        <v>522.16200000000003</v>
      </c>
      <c r="H45" s="7">
        <v>18.878799999999998</v>
      </c>
      <c r="I45" s="42"/>
      <c r="J45" s="42"/>
      <c r="K45" s="42"/>
      <c r="L45" s="42"/>
      <c r="M45" s="42"/>
      <c r="O45" s="42"/>
      <c r="P45" s="42"/>
    </row>
    <row r="46" spans="1:16" x14ac:dyDescent="0.2">
      <c r="C46" s="28">
        <v>228.44300000000001</v>
      </c>
      <c r="D46" s="7">
        <v>16.716699999999999</v>
      </c>
      <c r="G46" s="47">
        <v>511.62900000000002</v>
      </c>
      <c r="H46" s="7">
        <v>19.803599999999999</v>
      </c>
      <c r="I46" s="42"/>
      <c r="J46" s="42"/>
      <c r="K46" s="42"/>
      <c r="L46" s="42"/>
      <c r="M46" s="42"/>
      <c r="O46" s="42"/>
      <c r="P46" s="42"/>
    </row>
    <row r="47" spans="1:16" x14ac:dyDescent="0.2">
      <c r="C47" s="28">
        <v>189.321</v>
      </c>
      <c r="D47" s="7">
        <v>16.821200000000001</v>
      </c>
      <c r="G47" s="47">
        <v>576.96600000000001</v>
      </c>
      <c r="H47" s="7">
        <v>20.855699999999999</v>
      </c>
      <c r="I47" s="42"/>
      <c r="J47" s="42"/>
      <c r="K47" s="42"/>
      <c r="L47" s="42"/>
      <c r="M47" s="42"/>
      <c r="O47" s="42"/>
      <c r="P47" s="42"/>
    </row>
    <row r="48" spans="1:16" x14ac:dyDescent="0.2">
      <c r="C48" s="28">
        <v>150.05099999999999</v>
      </c>
      <c r="D48" s="7">
        <v>16.908200000000001</v>
      </c>
      <c r="G48" s="47">
        <v>731.06399999999996</v>
      </c>
      <c r="H48" s="7">
        <v>22.031500000000001</v>
      </c>
      <c r="I48" s="42"/>
      <c r="J48" s="42"/>
      <c r="K48" s="42"/>
      <c r="L48" s="42"/>
      <c r="M48" s="42"/>
      <c r="O48" s="42"/>
      <c r="P48" s="42"/>
    </row>
    <row r="49" spans="3:16" x14ac:dyDescent="0.2">
      <c r="C49" s="28">
        <v>110.76900000000001</v>
      </c>
      <c r="D49" s="7">
        <v>16.974599999999999</v>
      </c>
      <c r="G49" s="51">
        <v>987.29600000000005</v>
      </c>
      <c r="H49" s="7">
        <v>23.323799999999999</v>
      </c>
      <c r="I49" s="42"/>
      <c r="J49" s="42"/>
      <c r="K49" s="42"/>
      <c r="L49" s="42"/>
      <c r="M49" s="42"/>
      <c r="O49" s="42"/>
      <c r="P49" s="42"/>
    </row>
    <row r="50" spans="3:16" x14ac:dyDescent="0.2">
      <c r="C50" s="28">
        <v>71.630200000000002</v>
      </c>
      <c r="D50" s="7">
        <v>17.015999999999998</v>
      </c>
      <c r="G50" s="47">
        <v>1359.81</v>
      </c>
      <c r="H50" s="7">
        <v>24.722899999999999</v>
      </c>
      <c r="I50" s="42"/>
      <c r="J50" s="42"/>
      <c r="K50" s="42"/>
      <c r="L50" s="42"/>
      <c r="M50" s="42"/>
      <c r="O50" s="42"/>
      <c r="P50" s="42"/>
    </row>
    <row r="51" spans="3:16" x14ac:dyDescent="0.2">
      <c r="C51" s="28">
        <v>32.831499999999998</v>
      </c>
      <c r="D51" s="7">
        <v>17.026900000000001</v>
      </c>
      <c r="G51" s="47">
        <v>1863.76</v>
      </c>
      <c r="H51" s="7">
        <v>26.218900000000001</v>
      </c>
      <c r="I51" s="42"/>
      <c r="J51" s="42"/>
      <c r="K51" s="42"/>
      <c r="L51" s="42"/>
      <c r="M51" s="42"/>
      <c r="O51" s="42"/>
      <c r="P51" s="42"/>
    </row>
    <row r="52" spans="3:16" x14ac:dyDescent="0.2">
      <c r="C52" s="28">
        <v>-5.35921</v>
      </c>
      <c r="D52" s="7">
        <v>17.001000000000001</v>
      </c>
      <c r="G52" s="47">
        <v>2515.3000000000002</v>
      </c>
      <c r="H52" s="7">
        <v>27.801600000000001</v>
      </c>
      <c r="I52" s="42"/>
      <c r="J52" s="42"/>
      <c r="K52" s="42"/>
      <c r="L52" s="42"/>
      <c r="M52" s="42"/>
      <c r="O52" s="42"/>
      <c r="P52" s="42"/>
    </row>
    <row r="53" spans="3:16" x14ac:dyDescent="0.2">
      <c r="C53" s="28">
        <v>-42.563699999999997</v>
      </c>
      <c r="D53" s="7">
        <v>16.930299999999999</v>
      </c>
      <c r="G53" s="47">
        <v>3331.61</v>
      </c>
      <c r="H53" s="7">
        <v>29.461200000000002</v>
      </c>
      <c r="I53" s="42"/>
      <c r="J53" s="42"/>
      <c r="K53" s="42"/>
      <c r="L53" s="42"/>
      <c r="M53" s="42"/>
      <c r="O53" s="42"/>
      <c r="P53" s="42"/>
    </row>
    <row r="54" spans="3:16" x14ac:dyDescent="0.2">
      <c r="C54" s="28">
        <v>-78.251099999999994</v>
      </c>
      <c r="D54" s="7">
        <v>16.8062</v>
      </c>
      <c r="G54" s="47">
        <v>4330.59</v>
      </c>
      <c r="H54" s="7">
        <v>31.188500000000001</v>
      </c>
      <c r="I54" s="42"/>
      <c r="J54" s="42"/>
      <c r="K54" s="42"/>
      <c r="L54" s="42"/>
      <c r="M54" s="42"/>
      <c r="O54" s="42"/>
      <c r="P54" s="42"/>
    </row>
    <row r="55" spans="3:16" ht="17" thickBot="1" x14ac:dyDescent="0.25">
      <c r="C55" s="28">
        <v>-111.715</v>
      </c>
      <c r="D55" s="7">
        <v>16.6205</v>
      </c>
      <c r="G55" s="48">
        <v>5530.7</v>
      </c>
      <c r="H55" s="8">
        <v>32.974800000000002</v>
      </c>
      <c r="I55" s="42"/>
      <c r="J55" s="42"/>
      <c r="K55" s="42"/>
      <c r="L55" s="42"/>
      <c r="M55" s="42"/>
      <c r="O55" s="42"/>
      <c r="P55" s="42"/>
    </row>
    <row r="56" spans="3:16" x14ac:dyDescent="0.2">
      <c r="C56" s="28">
        <v>-142.14699999999999</v>
      </c>
      <c r="D56" s="7">
        <v>16.368500000000001</v>
      </c>
      <c r="I56" s="42"/>
      <c r="J56" s="42"/>
      <c r="K56" s="42"/>
      <c r="L56" s="42"/>
      <c r="M56" s="42"/>
      <c r="O56" s="42"/>
      <c r="P56" s="42"/>
    </row>
    <row r="57" spans="3:16" x14ac:dyDescent="0.2">
      <c r="C57" s="28">
        <v>-168.91399999999999</v>
      </c>
      <c r="D57" s="7">
        <v>16.0547</v>
      </c>
      <c r="I57" s="42"/>
      <c r="J57" s="42"/>
      <c r="K57" s="42"/>
      <c r="L57" s="42"/>
      <c r="M57" s="42"/>
      <c r="O57" s="42"/>
      <c r="P57" s="42"/>
    </row>
    <row r="58" spans="3:16" x14ac:dyDescent="0.2">
      <c r="C58" s="28">
        <v>-192.10400000000001</v>
      </c>
      <c r="D58" s="7">
        <v>15.698399999999999</v>
      </c>
      <c r="I58" s="42"/>
      <c r="J58" s="42"/>
      <c r="K58" s="42"/>
      <c r="L58" s="42"/>
      <c r="M58" s="42"/>
      <c r="O58" s="42"/>
      <c r="P58" s="42"/>
    </row>
    <row r="59" spans="3:16" x14ac:dyDescent="0.2">
      <c r="C59" s="28">
        <v>-213.01900000000001</v>
      </c>
      <c r="D59" s="7">
        <v>15.3362</v>
      </c>
      <c r="I59" s="42"/>
      <c r="J59" s="42"/>
      <c r="K59" s="42"/>
      <c r="L59" s="42"/>
      <c r="M59" s="42"/>
      <c r="O59" s="42"/>
      <c r="P59" s="42"/>
    </row>
    <row r="60" spans="3:16" x14ac:dyDescent="0.2">
      <c r="C60" s="28">
        <v>-233.982</v>
      </c>
      <c r="D60" s="7">
        <v>15.0152</v>
      </c>
      <c r="I60" s="42"/>
      <c r="J60" s="42"/>
      <c r="K60" s="42"/>
      <c r="L60" s="42"/>
      <c r="M60" s="42"/>
      <c r="O60" s="42"/>
      <c r="P60" s="42"/>
    </row>
    <row r="61" spans="3:16" x14ac:dyDescent="0.2">
      <c r="C61" s="28">
        <v>-257.03300000000002</v>
      </c>
      <c r="D61" s="7">
        <v>14.7723</v>
      </c>
      <c r="I61" s="42"/>
      <c r="J61" s="42"/>
      <c r="K61" s="42"/>
      <c r="L61" s="42"/>
      <c r="M61" s="42"/>
      <c r="O61" s="42"/>
      <c r="P61" s="42"/>
    </row>
    <row r="62" spans="3:16" x14ac:dyDescent="0.2">
      <c r="C62" s="28">
        <v>-282.62799999999999</v>
      </c>
      <c r="D62" s="7">
        <v>14.6074</v>
      </c>
      <c r="I62" s="42"/>
      <c r="J62" s="42"/>
      <c r="K62" s="42"/>
      <c r="L62" s="42"/>
      <c r="M62" s="42"/>
      <c r="O62" s="42"/>
      <c r="P62" s="42"/>
    </row>
    <row r="63" spans="3:16" x14ac:dyDescent="0.2">
      <c r="C63" s="28">
        <v>-309.81299999999999</v>
      </c>
      <c r="D63" s="7">
        <v>14.4963</v>
      </c>
      <c r="I63" s="42"/>
      <c r="J63" s="42"/>
      <c r="K63" s="42"/>
      <c r="L63" s="42"/>
      <c r="M63" s="42"/>
      <c r="O63" s="42"/>
      <c r="P63" s="42"/>
    </row>
    <row r="64" spans="3:16" x14ac:dyDescent="0.2">
      <c r="C64" s="28">
        <v>-336.697</v>
      </c>
      <c r="D64" s="7">
        <v>14.452299999999999</v>
      </c>
      <c r="I64" s="42"/>
      <c r="J64" s="42"/>
      <c r="K64" s="42"/>
      <c r="L64" s="42"/>
      <c r="M64" s="42"/>
      <c r="O64" s="42"/>
      <c r="P64" s="42"/>
    </row>
    <row r="65" spans="3:16" x14ac:dyDescent="0.2">
      <c r="C65" s="28">
        <v>-359.95800000000003</v>
      </c>
      <c r="D65" s="7">
        <v>14.591100000000001</v>
      </c>
      <c r="I65" s="42"/>
      <c r="J65" s="42"/>
      <c r="K65" s="42"/>
      <c r="L65" s="42"/>
      <c r="M65" s="42"/>
      <c r="O65" s="42"/>
      <c r="P65" s="42"/>
    </row>
    <row r="66" spans="3:16" x14ac:dyDescent="0.2">
      <c r="C66" s="28">
        <v>-375.76799999999997</v>
      </c>
      <c r="D66" s="7">
        <v>14.998200000000001</v>
      </c>
      <c r="I66" s="42"/>
      <c r="J66" s="42"/>
      <c r="K66" s="42"/>
      <c r="L66" s="42"/>
      <c r="M66" s="42"/>
      <c r="O66" s="42"/>
      <c r="P66" s="42"/>
    </row>
    <row r="67" spans="3:16" x14ac:dyDescent="0.2">
      <c r="C67" s="28">
        <v>-383.33199999999999</v>
      </c>
      <c r="D67" s="7">
        <v>15.605</v>
      </c>
      <c r="I67" s="42"/>
      <c r="J67" s="42"/>
      <c r="K67" s="42"/>
      <c r="L67" s="42"/>
      <c r="M67" s="42"/>
      <c r="O67" s="42"/>
      <c r="P67" s="42"/>
    </row>
    <row r="68" spans="3:16" x14ac:dyDescent="0.2">
      <c r="C68" s="28">
        <v>-383.46100000000001</v>
      </c>
      <c r="D68" s="7">
        <v>16.3384</v>
      </c>
      <c r="I68" s="42"/>
      <c r="J68" s="42"/>
      <c r="K68" s="42"/>
      <c r="L68" s="42"/>
      <c r="M68" s="42"/>
      <c r="O68" s="42"/>
      <c r="P68" s="42"/>
    </row>
    <row r="69" spans="3:16" x14ac:dyDescent="0.2">
      <c r="C69" s="28">
        <v>-376.47899999999998</v>
      </c>
      <c r="D69" s="7">
        <v>17.163499999999999</v>
      </c>
      <c r="I69" s="42"/>
      <c r="J69" s="42"/>
      <c r="K69" s="42"/>
      <c r="L69" s="42"/>
      <c r="M69" s="42"/>
      <c r="O69" s="42"/>
      <c r="P69" s="42"/>
    </row>
    <row r="70" spans="3:16" x14ac:dyDescent="0.2">
      <c r="C70" s="28">
        <v>-362.00400000000002</v>
      </c>
      <c r="D70" s="7">
        <v>18.064</v>
      </c>
      <c r="I70" s="42"/>
      <c r="J70" s="42"/>
      <c r="K70" s="42"/>
      <c r="L70" s="42"/>
      <c r="M70" s="42"/>
      <c r="O70" s="42"/>
      <c r="P70" s="42"/>
    </row>
    <row r="71" spans="3:16" x14ac:dyDescent="0.2">
      <c r="C71" s="28">
        <v>-339.01299999999998</v>
      </c>
      <c r="D71" s="7">
        <v>19.029900000000001</v>
      </c>
      <c r="I71" s="42"/>
      <c r="J71" s="42"/>
      <c r="K71" s="42"/>
      <c r="L71" s="42"/>
      <c r="M71" s="42"/>
      <c r="O71" s="42"/>
      <c r="P71" s="42"/>
    </row>
    <row r="72" spans="3:16" x14ac:dyDescent="0.2">
      <c r="C72" s="28">
        <v>-305.90300000000002</v>
      </c>
      <c r="D72" s="7">
        <v>20.053000000000001</v>
      </c>
      <c r="I72" s="42"/>
      <c r="J72" s="42"/>
      <c r="K72" s="42"/>
      <c r="L72" s="42"/>
      <c r="M72" s="42"/>
      <c r="O72" s="42"/>
      <c r="P72" s="42"/>
    </row>
    <row r="73" spans="3:16" x14ac:dyDescent="0.2">
      <c r="C73" s="28">
        <v>-260.58100000000002</v>
      </c>
      <c r="D73" s="7">
        <v>21.124600000000001</v>
      </c>
      <c r="I73" s="42"/>
      <c r="J73" s="42"/>
      <c r="K73" s="42"/>
      <c r="L73" s="42"/>
      <c r="M73" s="42"/>
      <c r="O73" s="42"/>
      <c r="P73" s="42"/>
    </row>
    <row r="74" spans="3:16" x14ac:dyDescent="0.2">
      <c r="C74" s="28">
        <v>-200.654</v>
      </c>
      <c r="D74" s="7">
        <v>22.235399999999998</v>
      </c>
      <c r="K74" s="42"/>
      <c r="L74" s="42"/>
      <c r="M74" s="42"/>
      <c r="O74" s="42"/>
      <c r="P74" s="42"/>
    </row>
    <row r="75" spans="3:16" x14ac:dyDescent="0.2">
      <c r="C75" s="28">
        <v>-110.101</v>
      </c>
      <c r="D75" s="7">
        <v>23.553599999999999</v>
      </c>
      <c r="K75" s="42"/>
      <c r="L75" s="42"/>
      <c r="M75" s="42"/>
      <c r="O75" s="42"/>
      <c r="P75" s="42"/>
    </row>
    <row r="76" spans="3:16" x14ac:dyDescent="0.2">
      <c r="C76" s="28">
        <v>6.6270600000000002</v>
      </c>
      <c r="D76" s="7">
        <v>24.8962</v>
      </c>
      <c r="K76" s="42"/>
      <c r="L76" s="42"/>
      <c r="M76" s="42"/>
      <c r="O76" s="42"/>
      <c r="P76" s="42"/>
    </row>
    <row r="77" spans="3:16" x14ac:dyDescent="0.2">
      <c r="C77" s="28">
        <v>152.44</v>
      </c>
      <c r="D77" s="7">
        <v>26.251000000000001</v>
      </c>
      <c r="K77" s="42"/>
      <c r="L77" s="42"/>
      <c r="M77" s="42"/>
      <c r="O77" s="42"/>
      <c r="P77" s="42"/>
    </row>
    <row r="78" spans="3:16" x14ac:dyDescent="0.2">
      <c r="C78" s="28">
        <v>329.71600000000001</v>
      </c>
      <c r="D78" s="7">
        <v>27.609000000000002</v>
      </c>
      <c r="K78" s="42"/>
      <c r="L78" s="42"/>
      <c r="M78" s="42"/>
      <c r="O78" s="42"/>
      <c r="P78" s="42"/>
    </row>
    <row r="79" spans="3:16" x14ac:dyDescent="0.2">
      <c r="C79" s="28">
        <v>540.45500000000004</v>
      </c>
      <c r="D79" s="7">
        <v>28.964400000000001</v>
      </c>
      <c r="K79" s="42"/>
      <c r="L79" s="42"/>
      <c r="M79" s="42"/>
      <c r="O79" s="42"/>
      <c r="P79" s="42"/>
    </row>
    <row r="80" spans="3:16" x14ac:dyDescent="0.2">
      <c r="C80" s="28">
        <v>786.43399999999997</v>
      </c>
      <c r="D80" s="7">
        <v>30.3139</v>
      </c>
      <c r="K80" s="42"/>
      <c r="L80" s="42"/>
      <c r="M80" s="42"/>
      <c r="O80" s="42"/>
      <c r="P80" s="42"/>
    </row>
    <row r="81" spans="3:16" x14ac:dyDescent="0.2">
      <c r="C81" s="28">
        <v>1069.32</v>
      </c>
      <c r="D81" s="7">
        <v>31.655799999999999</v>
      </c>
      <c r="K81" s="42"/>
      <c r="L81" s="42"/>
      <c r="M81" s="42"/>
      <c r="O81" s="42"/>
      <c r="P81" s="42"/>
    </row>
    <row r="82" spans="3:16" x14ac:dyDescent="0.2">
      <c r="C82" s="28">
        <v>1390.74</v>
      </c>
      <c r="D82" s="7">
        <v>32.9895</v>
      </c>
      <c r="K82" s="42"/>
      <c r="L82" s="42"/>
      <c r="M82" s="42"/>
      <c r="O82" s="42"/>
      <c r="P82" s="42"/>
    </row>
    <row r="83" spans="3:16" x14ac:dyDescent="0.2">
      <c r="C83" s="28">
        <v>1752.31</v>
      </c>
      <c r="D83" s="7">
        <v>34.315100000000001</v>
      </c>
      <c r="K83" s="42"/>
      <c r="L83" s="42"/>
      <c r="M83" s="42"/>
      <c r="O83" s="42"/>
      <c r="P83" s="42"/>
    </row>
    <row r="84" spans="3:16" x14ac:dyDescent="0.2">
      <c r="C84" s="28">
        <v>2155.62</v>
      </c>
      <c r="D84" s="7">
        <v>35.632899999999999</v>
      </c>
      <c r="K84" s="42"/>
      <c r="L84" s="42"/>
      <c r="M84" s="42"/>
      <c r="O84" s="42"/>
      <c r="P84" s="42"/>
    </row>
    <row r="85" spans="3:16" x14ac:dyDescent="0.2">
      <c r="C85" s="28">
        <v>2602.29</v>
      </c>
      <c r="D85" s="7">
        <v>36.9435</v>
      </c>
      <c r="K85" s="42"/>
      <c r="L85" s="42"/>
      <c r="M85" s="42"/>
      <c r="O85" s="42"/>
      <c r="P85" s="42"/>
    </row>
    <row r="86" spans="3:16" x14ac:dyDescent="0.2">
      <c r="C86" s="28">
        <v>3174.12</v>
      </c>
      <c r="D86" s="7">
        <v>38.448399999999999</v>
      </c>
      <c r="G86" s="42"/>
      <c r="H86" s="42"/>
      <c r="K86" s="42"/>
      <c r="L86" s="42"/>
      <c r="M86" s="42"/>
      <c r="O86" s="42"/>
      <c r="P86" s="42"/>
    </row>
    <row r="87" spans="3:16" x14ac:dyDescent="0.2">
      <c r="C87" s="28">
        <v>3808.4</v>
      </c>
      <c r="D87" s="7">
        <v>39.945099999999996</v>
      </c>
      <c r="G87" s="42"/>
      <c r="H87" s="42"/>
      <c r="K87" s="42"/>
      <c r="L87" s="42"/>
      <c r="M87" s="42"/>
      <c r="O87" s="42"/>
      <c r="P87" s="42"/>
    </row>
    <row r="88" spans="3:16" ht="17" thickBot="1" x14ac:dyDescent="0.25">
      <c r="C88" s="29">
        <v>4507.6099999999997</v>
      </c>
      <c r="D88" s="8">
        <v>41.434399999999997</v>
      </c>
      <c r="G88" s="42"/>
      <c r="H88" s="42"/>
      <c r="K88" s="42"/>
      <c r="L88" s="42"/>
      <c r="M88" s="42"/>
      <c r="O88" s="42"/>
      <c r="P88" s="42"/>
    </row>
    <row r="89" spans="3:16" x14ac:dyDescent="0.2">
      <c r="G89" s="42"/>
      <c r="H89" s="42"/>
      <c r="K89" s="42"/>
      <c r="L89" s="42"/>
      <c r="M89" s="42"/>
      <c r="O89" s="42"/>
      <c r="P89" s="42"/>
    </row>
    <row r="90" spans="3:16" x14ac:dyDescent="0.2">
      <c r="G90" s="42"/>
      <c r="H90" s="42"/>
      <c r="K90" s="42"/>
      <c r="L90" s="42"/>
      <c r="M90" s="42"/>
      <c r="O90" s="42"/>
      <c r="P90" s="42"/>
    </row>
    <row r="91" spans="3:16" x14ac:dyDescent="0.2">
      <c r="G91" s="42"/>
      <c r="H91" s="42"/>
      <c r="K91" s="42"/>
      <c r="L91" s="42"/>
      <c r="M91" s="42"/>
      <c r="O91" s="42"/>
      <c r="P91" s="42"/>
    </row>
    <row r="92" spans="3:16" x14ac:dyDescent="0.2">
      <c r="G92" s="42"/>
      <c r="H92" s="42"/>
      <c r="K92" s="42"/>
      <c r="L92" s="42"/>
      <c r="M92" s="42"/>
      <c r="O92" s="42"/>
      <c r="P92" s="42"/>
    </row>
    <row r="93" spans="3:16" x14ac:dyDescent="0.2">
      <c r="G93" s="42"/>
      <c r="H93" s="42"/>
      <c r="K93" s="42"/>
      <c r="L93" s="42"/>
      <c r="M93" s="42"/>
      <c r="O93" s="42"/>
      <c r="P93" s="42"/>
    </row>
    <row r="94" spans="3:16" x14ac:dyDescent="0.2">
      <c r="G94" s="42"/>
      <c r="H94" s="42"/>
      <c r="K94" s="42"/>
      <c r="L94" s="42"/>
      <c r="M94" s="42"/>
      <c r="O94" s="42"/>
      <c r="P94" s="42"/>
    </row>
    <row r="95" spans="3:16" x14ac:dyDescent="0.2">
      <c r="G95" s="42"/>
      <c r="H95" s="42"/>
      <c r="K95" s="42"/>
      <c r="L95" s="42"/>
      <c r="M95" s="42"/>
      <c r="O95" s="42"/>
      <c r="P95" s="42"/>
    </row>
    <row r="96" spans="3:16" x14ac:dyDescent="0.2">
      <c r="G96" s="42"/>
      <c r="H96" s="42"/>
      <c r="K96" s="42"/>
      <c r="L96" s="42"/>
      <c r="M96" s="42"/>
      <c r="O96" s="42"/>
      <c r="P96" s="42"/>
    </row>
    <row r="97" spans="11:16" x14ac:dyDescent="0.2">
      <c r="K97" s="42"/>
      <c r="L97" s="42"/>
      <c r="M97" s="42"/>
      <c r="O97" s="42"/>
      <c r="P97" s="42"/>
    </row>
    <row r="98" spans="11:16" x14ac:dyDescent="0.2">
      <c r="K98" s="42"/>
      <c r="L98" s="42"/>
      <c r="M98" s="42"/>
      <c r="O98" s="42"/>
      <c r="P98" s="42"/>
    </row>
    <row r="99" spans="11:16" x14ac:dyDescent="0.2">
      <c r="K99" s="42"/>
      <c r="L99" s="42"/>
      <c r="M99" s="42"/>
      <c r="O99" s="42"/>
      <c r="P99" s="42"/>
    </row>
    <row r="100" spans="11:16" x14ac:dyDescent="0.2">
      <c r="K100" s="42"/>
      <c r="L100" s="42"/>
      <c r="M100" s="42"/>
      <c r="O100" s="42"/>
      <c r="P100" s="42"/>
    </row>
    <row r="101" spans="11:16" x14ac:dyDescent="0.2">
      <c r="K101" s="42"/>
      <c r="L101" s="42"/>
      <c r="M101" s="42"/>
      <c r="O101" s="42"/>
      <c r="P101" s="42"/>
    </row>
    <row r="102" spans="11:16" x14ac:dyDescent="0.2">
      <c r="K102" s="42"/>
      <c r="L102" s="42"/>
      <c r="M102" s="42"/>
      <c r="O102" s="42"/>
      <c r="P102" s="42"/>
    </row>
    <row r="103" spans="11:16" x14ac:dyDescent="0.2">
      <c r="K103" s="42"/>
      <c r="L103" s="42"/>
      <c r="M103" s="42"/>
      <c r="O103" s="42"/>
      <c r="P103" s="42"/>
    </row>
    <row r="104" spans="11:16" x14ac:dyDescent="0.2">
      <c r="K104" s="42"/>
      <c r="L104" s="42"/>
      <c r="M104" s="42"/>
      <c r="O104" s="42"/>
      <c r="P104" s="42"/>
    </row>
    <row r="105" spans="11:16" x14ac:dyDescent="0.2">
      <c r="K105" s="42"/>
      <c r="L105" s="42"/>
      <c r="M105" s="42"/>
      <c r="O105" s="42"/>
      <c r="P105" s="42"/>
    </row>
    <row r="106" spans="11:16" x14ac:dyDescent="0.2">
      <c r="K106" s="42"/>
      <c r="L106" s="42"/>
      <c r="M106" s="42"/>
      <c r="O106" s="42"/>
      <c r="P106" s="42"/>
    </row>
    <row r="107" spans="11:16" x14ac:dyDescent="0.2">
      <c r="K107" s="42"/>
      <c r="L107" s="42"/>
      <c r="M107" s="42"/>
      <c r="O107" s="42"/>
      <c r="P107" s="42"/>
    </row>
    <row r="108" spans="11:16" x14ac:dyDescent="0.2">
      <c r="K108" s="42"/>
      <c r="L108" s="42"/>
      <c r="M108" s="42"/>
      <c r="O108" s="42"/>
      <c r="P108" s="42"/>
    </row>
    <row r="109" spans="11:16" x14ac:dyDescent="0.2">
      <c r="K109" s="42"/>
      <c r="L109" s="42"/>
      <c r="M109" s="42"/>
      <c r="O109" s="42"/>
      <c r="P109" s="42"/>
    </row>
    <row r="110" spans="11:16" x14ac:dyDescent="0.2">
      <c r="K110" s="42"/>
      <c r="L110" s="42"/>
      <c r="M110" s="42"/>
      <c r="O110" s="42"/>
      <c r="P110" s="42"/>
    </row>
    <row r="111" spans="11:16" x14ac:dyDescent="0.2">
      <c r="K111" s="42"/>
      <c r="L111" s="42"/>
      <c r="M111" s="42"/>
      <c r="O111" s="42"/>
      <c r="P111" s="42"/>
    </row>
    <row r="112" spans="11:16" x14ac:dyDescent="0.2">
      <c r="K112" s="42"/>
      <c r="L112" s="42"/>
      <c r="M112" s="42"/>
      <c r="O112" s="42"/>
      <c r="P112" s="42"/>
    </row>
    <row r="113" spans="11:16" x14ac:dyDescent="0.2">
      <c r="K113" s="42"/>
      <c r="L113" s="42"/>
      <c r="M113" s="42"/>
      <c r="O113" s="42"/>
      <c r="P113" s="42"/>
    </row>
    <row r="114" spans="11:16" x14ac:dyDescent="0.2">
      <c r="K114" s="42"/>
      <c r="L114" s="42"/>
      <c r="M114" s="42"/>
      <c r="O114" s="42"/>
      <c r="P114" s="42"/>
    </row>
    <row r="115" spans="11:16" x14ac:dyDescent="0.2">
      <c r="K115" s="42"/>
      <c r="L115" s="42"/>
      <c r="M115" s="42"/>
      <c r="O115" s="42"/>
      <c r="P115" s="42"/>
    </row>
    <row r="116" spans="11:16" x14ac:dyDescent="0.2">
      <c r="K116" s="42"/>
      <c r="L116" s="42"/>
      <c r="M116" s="42"/>
      <c r="O116" s="42"/>
      <c r="P116" s="42"/>
    </row>
    <row r="117" spans="11:16" x14ac:dyDescent="0.2">
      <c r="K117" s="42"/>
      <c r="L117" s="42"/>
      <c r="M117" s="42"/>
      <c r="O117" s="42"/>
      <c r="P117" s="42"/>
    </row>
    <row r="118" spans="11:16" x14ac:dyDescent="0.2">
      <c r="K118" s="42"/>
      <c r="L118" s="42"/>
      <c r="M118" s="42"/>
      <c r="O118" s="42"/>
      <c r="P118" s="42"/>
    </row>
    <row r="119" spans="11:16" x14ac:dyDescent="0.2">
      <c r="K119" s="42"/>
      <c r="L119" s="42"/>
      <c r="M119" s="42"/>
      <c r="O119" s="42"/>
      <c r="P119" s="42"/>
    </row>
    <row r="120" spans="11:16" x14ac:dyDescent="0.2">
      <c r="L120" s="42"/>
      <c r="M120" s="42"/>
      <c r="O120" s="42"/>
      <c r="P120" s="42"/>
    </row>
    <row r="121" spans="11:16" x14ac:dyDescent="0.2">
      <c r="L121" s="42"/>
      <c r="M121" s="42"/>
      <c r="O121" s="42"/>
      <c r="P121" s="42"/>
    </row>
    <row r="122" spans="11:16" x14ac:dyDescent="0.2">
      <c r="L122" s="42"/>
      <c r="M122" s="42"/>
      <c r="O122" s="42"/>
      <c r="P122" s="42"/>
    </row>
    <row r="123" spans="11:16" x14ac:dyDescent="0.2">
      <c r="L123" s="42"/>
      <c r="M123" s="42"/>
      <c r="O123" s="42"/>
      <c r="P123" s="42"/>
    </row>
    <row r="124" spans="11:16" x14ac:dyDescent="0.2">
      <c r="L124" s="42"/>
      <c r="M124" s="42"/>
      <c r="O124" s="42"/>
      <c r="P124" s="42"/>
    </row>
    <row r="125" spans="11:16" x14ac:dyDescent="0.2">
      <c r="L125" s="42"/>
      <c r="M125" s="42"/>
      <c r="O125" s="42"/>
      <c r="P125" s="42"/>
    </row>
    <row r="126" spans="11:16" x14ac:dyDescent="0.2">
      <c r="L126" s="42"/>
      <c r="M126" s="42"/>
      <c r="O126" s="42"/>
      <c r="P126" s="42"/>
    </row>
    <row r="127" spans="11:16" x14ac:dyDescent="0.2">
      <c r="L127" s="42"/>
      <c r="M127" s="42"/>
      <c r="O127" s="42"/>
      <c r="P127" s="42"/>
    </row>
    <row r="128" spans="11:16" x14ac:dyDescent="0.2">
      <c r="L128" s="42"/>
      <c r="M128" s="42"/>
      <c r="O128" s="42"/>
      <c r="P128" s="42"/>
    </row>
    <row r="129" spans="12:16" x14ac:dyDescent="0.2">
      <c r="L129" s="42"/>
      <c r="M129" s="42"/>
      <c r="O129" s="42"/>
      <c r="P129" s="42"/>
    </row>
    <row r="130" spans="12:16" x14ac:dyDescent="0.2">
      <c r="L130" s="42"/>
      <c r="M130" s="42"/>
      <c r="O130" s="42"/>
      <c r="P130" s="42"/>
    </row>
    <row r="131" spans="12:16" x14ac:dyDescent="0.2">
      <c r="L131" s="42"/>
      <c r="M131" s="42"/>
      <c r="O131" s="42"/>
      <c r="P131" s="42"/>
    </row>
    <row r="132" spans="12:16" x14ac:dyDescent="0.2">
      <c r="L132" s="42"/>
      <c r="M132" s="42"/>
      <c r="O132" s="42"/>
      <c r="P132" s="42"/>
    </row>
    <row r="133" spans="12:16" x14ac:dyDescent="0.2">
      <c r="L133" s="42"/>
      <c r="M133" s="42"/>
      <c r="O133" s="42"/>
      <c r="P133" s="42"/>
    </row>
    <row r="134" spans="12:16" x14ac:dyDescent="0.2">
      <c r="O134" s="42"/>
      <c r="P134" s="42"/>
    </row>
    <row r="135" spans="12:16" x14ac:dyDescent="0.2">
      <c r="O135" s="42"/>
      <c r="P135" s="42"/>
    </row>
    <row r="136" spans="12:16" x14ac:dyDescent="0.2">
      <c r="O136" s="42"/>
      <c r="P136" s="42"/>
    </row>
    <row r="137" spans="12:16" x14ac:dyDescent="0.2">
      <c r="O137" s="42"/>
      <c r="P137" s="42"/>
    </row>
    <row r="138" spans="12:16" x14ac:dyDescent="0.2">
      <c r="O138" s="42"/>
      <c r="P138" s="42"/>
    </row>
  </sheetData>
  <mergeCells count="2">
    <mergeCell ref="A1:D1"/>
    <mergeCell ref="E1:H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CantileverForce</vt:lpstr>
      <vt:lpstr>CantileverMoment</vt:lpstr>
      <vt:lpstr>SlitAnnularPlate</vt:lpstr>
      <vt:lpstr>Hemisphere</vt:lpstr>
      <vt:lpstr>PullOutCylinder</vt:lpstr>
      <vt:lpstr>PinchedCylinder</vt:lpstr>
      <vt:lpstr>PinchedSemiCylinder</vt:lpstr>
      <vt:lpstr>CylindricalRoof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</dc:creator>
  <cp:lastModifiedBy>Evandro Parente</cp:lastModifiedBy>
  <dcterms:created xsi:type="dcterms:W3CDTF">2024-10-08T15:19:48Z</dcterms:created>
  <dcterms:modified xsi:type="dcterms:W3CDTF">2025-03-10T17:40:44Z</dcterms:modified>
</cp:coreProperties>
</file>