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queryTables/queryTable1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uario/Documents/FAST/FASTv2.4.3/dat/nonlin/"/>
    </mc:Choice>
  </mc:AlternateContent>
  <xr:revisionPtr revIDLastSave="0" documentId="13_ncr:1_{58E83D53-ACF2-1F47-9DF2-2CA9180B55B2}" xr6:coauthVersionLast="47" xr6:coauthVersionMax="47" xr10:uidLastSave="{00000000-0000-0000-0000-000000000000}"/>
  <bookViews>
    <workbookView xWindow="880" yWindow="1120" windowWidth="27580" windowHeight="15680" activeTab="8" xr2:uid="{18C472BF-B4FE-4953-8846-AA3CF073BB65}"/>
  </bookViews>
  <sheets>
    <sheet name="Resumo" sheetId="4" r:id="rId1"/>
    <sheet name="Planilha1" sheetId="8" r:id="rId2"/>
    <sheet name="CylPlast2D" sheetId="1" r:id="rId3"/>
    <sheet name="SphAxys" sheetId="2" r:id="rId4"/>
    <sheet name="PlateCircAxys" sheetId="3" r:id="rId5"/>
    <sheet name="CylPlast3D" sheetId="5" r:id="rId6"/>
    <sheet name="PlateCirc3D" sheetId="7" r:id="rId7"/>
    <sheet name="CantileverPlastPlaneStress" sheetId="10" r:id="rId8"/>
    <sheet name="PlastPerfPlaneStress" sheetId="9" r:id="rId9"/>
  </sheets>
  <definedNames>
    <definedName name="CantileverPlast" localSheetId="7">CantileverPlastPlaneStress!$C$3:$D$53</definedName>
    <definedName name="graf_1" localSheetId="8">PlastPerfPlaneStress!$C$4:$D$10</definedName>
    <definedName name="PerfPlate_1" localSheetId="8">PlastPerfPlaneStress!$C$3:$D$10</definedName>
    <definedName name="PerPlate" localSheetId="7">CantileverPlastPlaneStress!#REF!</definedName>
    <definedName name="PerPlate" localSheetId="8">PlastPerfPlaneStress!$C$3:$D$31</definedName>
    <definedName name="solver_adj" localSheetId="2" hidden="1">CylPlast2D!$P$52</definedName>
    <definedName name="solver_cvg" localSheetId="2" hidden="1">"0,0001"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CylPlast2D!$P$52</definedName>
    <definedName name="solver_lhs2" localSheetId="2" hidden="1">CylPlast2D!$P$52</definedName>
    <definedName name="solver_mip" localSheetId="2" hidden="1">2147483647</definedName>
    <definedName name="solver_mni" localSheetId="2" hidden="1">30</definedName>
    <definedName name="solver_mrt" localSheetId="2" hidden="1">"0,075"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CylPlast2D!$Q$52</definedName>
    <definedName name="solver_pre" localSheetId="2" hidden="1">"0,000001"</definedName>
    <definedName name="solver_rbv" localSheetId="2" hidden="1">2</definedName>
    <definedName name="solver_rel1" localSheetId="2" hidden="1">3</definedName>
    <definedName name="solver_rel2" localSheetId="2" hidden="1">3</definedName>
    <definedName name="solver_rhs1" localSheetId="2" hidden="1">200</definedName>
    <definedName name="solver_rhs2" localSheetId="2" hidden="1">200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0</definedName>
    <definedName name="solver_tim" localSheetId="2" hidden="1">2147483647</definedName>
    <definedName name="solver_tol" localSheetId="2" hidden="1">1</definedName>
    <definedName name="solver_typ" localSheetId="2" hidden="1">3</definedName>
    <definedName name="solver_val" localSheetId="2" hidden="1">0.721688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Q17" i="7"/>
  <c r="O17" i="7"/>
  <c r="Q16" i="7"/>
  <c r="O16" i="7"/>
  <c r="Q15" i="7"/>
  <c r="O15" i="7"/>
  <c r="Q14" i="7"/>
  <c r="O14" i="7"/>
  <c r="Q13" i="7"/>
  <c r="O13" i="7"/>
  <c r="Q12" i="7"/>
  <c r="O12" i="7"/>
  <c r="Q11" i="7"/>
  <c r="O11" i="7"/>
  <c r="Q10" i="7"/>
  <c r="O10" i="7"/>
  <c r="Q9" i="7"/>
  <c r="O9" i="7"/>
  <c r="Q8" i="7"/>
  <c r="O8" i="7"/>
  <c r="Q7" i="7"/>
  <c r="O7" i="7"/>
  <c r="Q6" i="7"/>
  <c r="O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6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5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6" i="7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1" i="3"/>
  <c r="C22" i="3"/>
  <c r="C23" i="3"/>
  <c r="C24" i="3"/>
  <c r="C25" i="3"/>
  <c r="C26" i="3"/>
  <c r="C27" i="3"/>
  <c r="C28" i="3"/>
  <c r="C29" i="3"/>
  <c r="H20" i="3" s="1"/>
  <c r="C5" i="3"/>
  <c r="D27" i="3"/>
  <c r="D28" i="3"/>
  <c r="D29" i="3"/>
  <c r="H39" i="1"/>
  <c r="H33" i="1"/>
  <c r="H34" i="1"/>
  <c r="H35" i="1"/>
  <c r="H36" i="1"/>
  <c r="H37" i="1"/>
  <c r="H38" i="1"/>
  <c r="H32" i="1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M25" i="5"/>
  <c r="J25" i="5"/>
  <c r="E25" i="5"/>
  <c r="C25" i="5"/>
  <c r="Q24" i="5"/>
  <c r="M24" i="5"/>
  <c r="J24" i="5"/>
  <c r="E24" i="5"/>
  <c r="C24" i="5"/>
  <c r="Q23" i="5"/>
  <c r="M23" i="5"/>
  <c r="J23" i="5"/>
  <c r="E23" i="5"/>
  <c r="C23" i="5"/>
  <c r="Q22" i="5"/>
  <c r="M22" i="5"/>
  <c r="J22" i="5"/>
  <c r="E22" i="5"/>
  <c r="C22" i="5"/>
  <c r="Q21" i="5"/>
  <c r="M21" i="5"/>
  <c r="J21" i="5"/>
  <c r="E21" i="5"/>
  <c r="C21" i="5"/>
  <c r="M20" i="5"/>
  <c r="J20" i="5"/>
  <c r="E20" i="5"/>
  <c r="C20" i="5"/>
  <c r="M19" i="5"/>
  <c r="J19" i="5"/>
  <c r="E19" i="5"/>
  <c r="C19" i="5"/>
  <c r="M18" i="5"/>
  <c r="J18" i="5"/>
  <c r="E18" i="5"/>
  <c r="C18" i="5"/>
  <c r="M17" i="5"/>
  <c r="J17" i="5"/>
  <c r="E17" i="5"/>
  <c r="C17" i="5"/>
  <c r="M16" i="5"/>
  <c r="J16" i="5"/>
  <c r="E16" i="5"/>
  <c r="C16" i="5"/>
  <c r="M15" i="5"/>
  <c r="J15" i="5"/>
  <c r="E15" i="5"/>
  <c r="C15" i="5"/>
  <c r="M14" i="5"/>
  <c r="J14" i="5"/>
  <c r="E14" i="5"/>
  <c r="C14" i="5"/>
  <c r="M13" i="5"/>
  <c r="J13" i="5"/>
  <c r="E13" i="5"/>
  <c r="C13" i="5"/>
  <c r="M12" i="5"/>
  <c r="J12" i="5"/>
  <c r="E12" i="5"/>
  <c r="C12" i="5"/>
  <c r="M11" i="5"/>
  <c r="J11" i="5"/>
  <c r="E11" i="5"/>
  <c r="C11" i="5"/>
  <c r="M10" i="5"/>
  <c r="J10" i="5"/>
  <c r="E10" i="5"/>
  <c r="C10" i="5"/>
  <c r="M9" i="5"/>
  <c r="J9" i="5"/>
  <c r="E9" i="5"/>
  <c r="C9" i="5"/>
  <c r="M8" i="5"/>
  <c r="J8" i="5"/>
  <c r="E8" i="5"/>
  <c r="C8" i="5"/>
  <c r="M7" i="5"/>
  <c r="J7" i="5"/>
  <c r="E7" i="5"/>
  <c r="C7" i="5"/>
  <c r="M6" i="5"/>
  <c r="J6" i="5"/>
  <c r="E6" i="5"/>
  <c r="C6" i="5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V67" i="1"/>
  <c r="T34" i="2"/>
  <c r="T35" i="2"/>
  <c r="T36" i="2"/>
  <c r="T37" i="2"/>
  <c r="T38" i="2"/>
  <c r="T39" i="2"/>
  <c r="T40" i="2"/>
  <c r="T41" i="2"/>
  <c r="T42" i="2"/>
  <c r="T43" i="2"/>
  <c r="T23" i="2"/>
  <c r="T24" i="2"/>
  <c r="T25" i="2"/>
  <c r="T26" i="2"/>
  <c r="T27" i="2"/>
  <c r="T28" i="2"/>
  <c r="T29" i="2"/>
  <c r="T30" i="2"/>
  <c r="T31" i="2"/>
  <c r="T32" i="2"/>
  <c r="T33" i="2"/>
  <c r="T22" i="2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53" i="1"/>
  <c r="L36" i="2"/>
  <c r="I36" i="2"/>
  <c r="L35" i="2"/>
  <c r="I35" i="2"/>
  <c r="L34" i="2"/>
  <c r="I34" i="2"/>
  <c r="L33" i="2"/>
  <c r="I33" i="2"/>
  <c r="L32" i="2"/>
  <c r="I32" i="2"/>
  <c r="L31" i="2"/>
  <c r="I31" i="2"/>
  <c r="L30" i="2"/>
  <c r="I30" i="2"/>
  <c r="D30" i="2"/>
  <c r="L29" i="2"/>
  <c r="I29" i="2"/>
  <c r="D29" i="2"/>
  <c r="L28" i="2"/>
  <c r="I28" i="2"/>
  <c r="D28" i="2"/>
  <c r="L27" i="2"/>
  <c r="I27" i="2"/>
  <c r="D27" i="2"/>
  <c r="L26" i="2"/>
  <c r="I26" i="2"/>
  <c r="D26" i="2"/>
  <c r="L25" i="2"/>
  <c r="I25" i="2"/>
  <c r="D25" i="2"/>
  <c r="L24" i="2"/>
  <c r="I24" i="2"/>
  <c r="D24" i="2"/>
  <c r="L23" i="2"/>
  <c r="I23" i="2"/>
  <c r="D23" i="2"/>
  <c r="L22" i="2"/>
  <c r="I22" i="2"/>
  <c r="D22" i="2"/>
  <c r="L21" i="2"/>
  <c r="I21" i="2"/>
  <c r="D21" i="2"/>
  <c r="L20" i="2"/>
  <c r="I20" i="2"/>
  <c r="D20" i="2"/>
  <c r="L19" i="2"/>
  <c r="I19" i="2"/>
  <c r="D19" i="2"/>
  <c r="L18" i="2"/>
  <c r="I18" i="2"/>
  <c r="D18" i="2"/>
  <c r="L17" i="2"/>
  <c r="I17" i="2"/>
  <c r="D17" i="2"/>
  <c r="L16" i="2"/>
  <c r="I16" i="2"/>
  <c r="D16" i="2"/>
  <c r="L15" i="2"/>
  <c r="I15" i="2"/>
  <c r="D15" i="2"/>
  <c r="L14" i="2"/>
  <c r="I14" i="2"/>
  <c r="D14" i="2"/>
  <c r="L13" i="2"/>
  <c r="I13" i="2"/>
  <c r="D13" i="2"/>
  <c r="L12" i="2"/>
  <c r="I12" i="2"/>
  <c r="D12" i="2"/>
  <c r="L11" i="2"/>
  <c r="I11" i="2"/>
  <c r="D11" i="2"/>
  <c r="L10" i="2"/>
  <c r="I10" i="2"/>
  <c r="D10" i="2"/>
  <c r="L9" i="2"/>
  <c r="I9" i="2"/>
  <c r="D9" i="2"/>
  <c r="L8" i="2"/>
  <c r="I8" i="2"/>
  <c r="D8" i="2"/>
  <c r="L7" i="2"/>
  <c r="I7" i="2"/>
  <c r="D7" i="2"/>
  <c r="L45" i="1" l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27" i="1"/>
  <c r="D26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87F29-7D59-3649-935D-34ABEE3EB1E9}" name="CantileverPlast" type="6" refreshedVersion="8" background="1" saveData="1">
    <textPr sourceFile="/Users/usuario/Documents/FAST/FASTv2.4.3/dat/nonlin/CantileverPlast.txt" thousands=" " space="1" consecutive="1">
      <textFields count="2">
        <textField/>
        <textField/>
      </textFields>
    </textPr>
  </connection>
  <connection id="2" xr16:uid="{5FD5F898-EA76-124F-A8FA-0F7AF67FD14E}" name="graf1" type="6" refreshedVersion="8" background="1" saveData="1">
    <textPr codePage="10000" sourceFile="/Users/usuario/Documents/FAST/FASTv2.4.3/graf.txt" thousands=" " space="1" consecutive="1">
      <textFields count="2">
        <textField/>
        <textField/>
      </textFields>
    </textPr>
  </connection>
  <connection id="3" xr16:uid="{367276A3-4C4E-ED49-BB6F-2EB9F63591B3}" name="PerfPlate1" type="6" refreshedVersion="8" background="1" saveData="1">
    <textPr codePage="10000" sourceFile="/Users/usuario/Documents/FAST/FASTv2.4.3/dat/nonlin/PerfPlate.txt" delimited="0" thousands=" ">
      <textFields count="2">
        <textField/>
        <textField position="17"/>
      </textFields>
    </textPr>
  </connection>
  <connection id="4" xr16:uid="{760672F9-F27C-8343-B9B2-5ED99942FC1E}" name="PerPlate" type="6" refreshedVersion="8" background="1" saveData="1">
    <textPr sourceFile="/Users/usuario/Documents/FAST/FASTv2.4.3/dat/nonlin/PerPlate.txt" delimited="0" thousands=" ">
      <textFields count="2">
        <textField/>
        <textField position="17"/>
      </textFields>
    </textPr>
  </connection>
</connections>
</file>

<file path=xl/sharedStrings.xml><?xml version="1.0" encoding="utf-8"?>
<sst xmlns="http://schemas.openxmlformats.org/spreadsheetml/2006/main" count="118" uniqueCount="48">
  <si>
    <t>LPF</t>
  </si>
  <si>
    <t>P (GPa)</t>
  </si>
  <si>
    <t>u (mm)</t>
  </si>
  <si>
    <t>FAST - 40Q8 - Node #144</t>
  </si>
  <si>
    <t>lcm - 3x3</t>
  </si>
  <si>
    <t>lcm - 2x2</t>
  </si>
  <si>
    <t>clal - 3x3</t>
  </si>
  <si>
    <t>clal - 2x2</t>
  </si>
  <si>
    <t>E (GPa)</t>
  </si>
  <si>
    <t>Poisson</t>
  </si>
  <si>
    <t>SigY (GPa)</t>
  </si>
  <si>
    <t>P0</t>
  </si>
  <si>
    <t>Plim</t>
  </si>
  <si>
    <t>b</t>
  </si>
  <si>
    <t>a</t>
  </si>
  <si>
    <t>WebPlot Souza Neto</t>
  </si>
  <si>
    <t>lcm</t>
  </si>
  <si>
    <t>clal</t>
  </si>
  <si>
    <t>2x2</t>
  </si>
  <si>
    <t>3x3</t>
  </si>
  <si>
    <t>lpf</t>
  </si>
  <si>
    <t>ABAQUS</t>
  </si>
  <si>
    <t>u(mm)</t>
  </si>
  <si>
    <t>Solução Analítica</t>
  </si>
  <si>
    <t>Souza Neto</t>
  </si>
  <si>
    <t>P</t>
  </si>
  <si>
    <t>u+</t>
  </si>
  <si>
    <t>u</t>
  </si>
  <si>
    <t xml:space="preserve">u </t>
  </si>
  <si>
    <t>Plim Ref.</t>
  </si>
  <si>
    <t>FAST 2x2</t>
  </si>
  <si>
    <t>2D - Q8 - LCM</t>
  </si>
  <si>
    <t>3D - B20 - LCM</t>
  </si>
  <si>
    <t>Elástico</t>
  </si>
  <si>
    <t>Plast</t>
  </si>
  <si>
    <t>u (m)</t>
  </si>
  <si>
    <t>CLAL - 3D</t>
  </si>
  <si>
    <t># Node (v)</t>
  </si>
  <si>
    <t>r/R</t>
  </si>
  <si>
    <t>B20 - 3x3 - lcm - #187</t>
  </si>
  <si>
    <t>q</t>
  </si>
  <si>
    <t>B20 - 3x3 - clal - #187</t>
  </si>
  <si>
    <t>B20 - 2x2 - clal - #187</t>
  </si>
  <si>
    <t>Err. %</t>
  </si>
  <si>
    <t>FAST - T6</t>
  </si>
  <si>
    <t>v (mm)</t>
  </si>
  <si>
    <t>P (kN)</t>
  </si>
  <si>
    <t>FAST - 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</si>
</sst>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"/>
    <numFmt numFmtId="166" formatCode="0.0000"/>
    <numFmt numFmtId="169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166" fontId="0" fillId="0" borderId="0" xfId="0" applyNumberFormat="1"/>
    <xf numFmtId="11" fontId="0" fillId="0" borderId="1" xfId="0" applyNumberFormat="1" applyBorder="1"/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1" xfId="0" applyNumberFormat="1" applyBorder="1" applyAlignment="1">
      <alignment horizontal="center"/>
    </xf>
    <xf numFmtId="11" fontId="0" fillId="0" borderId="0" xfId="0" applyNumberForma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0"/>
          <c:tx>
            <c:v>Hill (Ref.)</c:v>
          </c:tx>
          <c:spPr>
            <a:ln w="19050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CylPlast2D!$O$42:$O$58</c:f>
              <c:numCache>
                <c:formatCode>General</c:formatCode>
                <c:ptCount val="17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0.06</c:v>
                </c:pt>
                <c:pt idx="6">
                  <c:v>7.2700000000000001E-2</c:v>
                </c:pt>
                <c:pt idx="7">
                  <c:v>8.6499999999999994E-2</c:v>
                </c:pt>
                <c:pt idx="8">
                  <c:v>0.10150000000000001</c:v>
                </c:pt>
                <c:pt idx="9">
                  <c:v>0.1177</c:v>
                </c:pt>
                <c:pt idx="10">
                  <c:v>0.1351</c:v>
                </c:pt>
                <c:pt idx="11">
                  <c:v>0.1537</c:v>
                </c:pt>
                <c:pt idx="12">
                  <c:v>0.17349999999999999</c:v>
                </c:pt>
                <c:pt idx="13">
                  <c:v>0.19450000000000001</c:v>
                </c:pt>
                <c:pt idx="14">
                  <c:v>0.21679999999999999</c:v>
                </c:pt>
                <c:pt idx="15">
                  <c:v>0.2402</c:v>
                </c:pt>
                <c:pt idx="16">
                  <c:v>1</c:v>
                </c:pt>
              </c:numCache>
            </c:numRef>
          </c:xVal>
          <c:yVal>
            <c:numRef>
              <c:f>CylPlast2D!$N$42:$N$58</c:f>
              <c:numCache>
                <c:formatCode>General</c:formatCode>
                <c:ptCount val="17"/>
                <c:pt idx="0">
                  <c:v>0</c:v>
                </c:pt>
                <c:pt idx="1">
                  <c:v>2.5999999999999999E-2</c:v>
                </c:pt>
                <c:pt idx="2">
                  <c:v>5.1999999999999998E-2</c:v>
                </c:pt>
                <c:pt idx="3">
                  <c:v>7.7899999999999997E-2</c:v>
                </c:pt>
                <c:pt idx="4">
                  <c:v>0.10390000000000001</c:v>
                </c:pt>
                <c:pt idx="5">
                  <c:v>0.10390000000000001</c:v>
                </c:pt>
                <c:pt idx="6">
                  <c:v>0.1231</c:v>
                </c:pt>
                <c:pt idx="7">
                  <c:v>0.13919999999999999</c:v>
                </c:pt>
                <c:pt idx="8">
                  <c:v>0.1527</c:v>
                </c:pt>
                <c:pt idx="9">
                  <c:v>0.16389999999999999</c:v>
                </c:pt>
                <c:pt idx="10">
                  <c:v>0.17299999999999999</c:v>
                </c:pt>
                <c:pt idx="11">
                  <c:v>0.18010000000000001</c:v>
                </c:pt>
                <c:pt idx="12">
                  <c:v>0.1855</c:v>
                </c:pt>
                <c:pt idx="13">
                  <c:v>0.18920000000000001</c:v>
                </c:pt>
                <c:pt idx="14">
                  <c:v>0.19139999999999999</c:v>
                </c:pt>
                <c:pt idx="15">
                  <c:v>0.19209999999999999</c:v>
                </c:pt>
                <c:pt idx="16">
                  <c:v>0.19209999999999999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6C-4C02-9757-FBCBA967AFF1}"/>
            </c:ext>
          </c:extLst>
        </c:ser>
        <c:ser>
          <c:idx val="1"/>
          <c:order val="1"/>
          <c:tx>
            <c:v>clal 2x2 - Q8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CylPlast2D!$H$32:$H$39</c:f>
              <c:numCache>
                <c:formatCode>General</c:formatCode>
                <c:ptCount val="8"/>
                <c:pt idx="0">
                  <c:v>0</c:v>
                </c:pt>
                <c:pt idx="1">
                  <c:v>5.5467399999999997E-3</c:v>
                </c:pt>
                <c:pt idx="2">
                  <c:v>1.79496E-2</c:v>
                </c:pt>
                <c:pt idx="3">
                  <c:v>4.5683299999999996E-2</c:v>
                </c:pt>
                <c:pt idx="4">
                  <c:v>0.106722</c:v>
                </c:pt>
                <c:pt idx="5">
                  <c:v>0.17091299999999998</c:v>
                </c:pt>
                <c:pt idx="6">
                  <c:v>0.23657999999999998</c:v>
                </c:pt>
                <c:pt idx="7">
                  <c:v>0.29108999999999996</c:v>
                </c:pt>
              </c:numCache>
            </c:numRef>
          </c:xVal>
          <c:yVal>
            <c:numRef>
              <c:f>CylPlast2D!$G$32:$G$39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9.5999999999999992E-3</c:v>
                </c:pt>
                <c:pt idx="2">
                  <c:v>3.1066300000000002E-2</c:v>
                </c:pt>
                <c:pt idx="3">
                  <c:v>7.9066300000000006E-2</c:v>
                </c:pt>
                <c:pt idx="4">
                  <c:v>0.15659200000000001</c:v>
                </c:pt>
                <c:pt idx="5">
                  <c:v>0.18455299999999999</c:v>
                </c:pt>
                <c:pt idx="6">
                  <c:v>0.191382</c:v>
                </c:pt>
                <c:pt idx="7" formatCode="0.00E+00">
                  <c:v>0.191746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89-49E3-8CFF-2ED0BC18CEA4}"/>
            </c:ext>
          </c:extLst>
        </c:ser>
        <c:ser>
          <c:idx val="0"/>
          <c:order val="2"/>
          <c:tx>
            <c:v>clal 3x3 - B20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CylPlast3D!$Q$20:$Q$40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5.5465899999999997E-3</c:v>
                </c:pt>
                <c:pt idx="2">
                  <c:v>1.7949200000000002E-2</c:v>
                </c:pt>
                <c:pt idx="3">
                  <c:v>4.5682100000000003E-2</c:v>
                </c:pt>
                <c:pt idx="4">
                  <c:v>0.10669099999999999</c:v>
                </c:pt>
                <c:pt idx="5">
                  <c:v>0.170652</c:v>
                </c:pt>
                <c:pt idx="6">
                  <c:v>0.23113499999999998</c:v>
                </c:pt>
                <c:pt idx="7">
                  <c:v>0.28111199999999997</c:v>
                </c:pt>
                <c:pt idx="8">
                  <c:v>0.32824799999999998</c:v>
                </c:pt>
                <c:pt idx="9">
                  <c:v>0.37466099999999997</c:v>
                </c:pt>
                <c:pt idx="10">
                  <c:v>0.420983</c:v>
                </c:pt>
                <c:pt idx="11">
                  <c:v>0.467395</c:v>
                </c:pt>
                <c:pt idx="12">
                  <c:v>0.51393299999999997</c:v>
                </c:pt>
                <c:pt idx="13">
                  <c:v>0.560589</c:v>
                </c:pt>
                <c:pt idx="14">
                  <c:v>0.60734399999999999</c:v>
                </c:pt>
                <c:pt idx="15">
                  <c:v>0.65418300000000007</c:v>
                </c:pt>
                <c:pt idx="16">
                  <c:v>0.70109100000000002</c:v>
                </c:pt>
                <c:pt idx="17">
                  <c:v>0.74806000000000006</c:v>
                </c:pt>
                <c:pt idx="18">
                  <c:v>0.79508100000000004</c:v>
                </c:pt>
                <c:pt idx="19">
                  <c:v>0.84214699999999998</c:v>
                </c:pt>
                <c:pt idx="20">
                  <c:v>0.88925200000000004</c:v>
                </c:pt>
              </c:numCache>
            </c:numRef>
          </c:xVal>
          <c:yVal>
            <c:numRef>
              <c:f>CylPlast3D!$R$20:$R$40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9.5999999999999992E-3</c:v>
                </c:pt>
                <c:pt idx="2">
                  <c:v>3.1066300000000002E-2</c:v>
                </c:pt>
                <c:pt idx="3">
                  <c:v>7.9066300000000006E-2</c:v>
                </c:pt>
                <c:pt idx="4">
                  <c:v>0.156528</c:v>
                </c:pt>
                <c:pt idx="5">
                  <c:v>0.18457799999999999</c:v>
                </c:pt>
                <c:pt idx="6">
                  <c:v>0.191382</c:v>
                </c:pt>
                <c:pt idx="7">
                  <c:v>0.191743</c:v>
                </c:pt>
                <c:pt idx="8">
                  <c:v>0.19192699999999999</c:v>
                </c:pt>
                <c:pt idx="9">
                  <c:v>0.19200900000000001</c:v>
                </c:pt>
                <c:pt idx="10">
                  <c:v>0.19204299999999999</c:v>
                </c:pt>
                <c:pt idx="11">
                  <c:v>0.192056</c:v>
                </c:pt>
                <c:pt idx="12">
                  <c:v>0.19205900000000001</c:v>
                </c:pt>
                <c:pt idx="13">
                  <c:v>0.19205900000000001</c:v>
                </c:pt>
                <c:pt idx="14">
                  <c:v>0.19205700000000001</c:v>
                </c:pt>
                <c:pt idx="15">
                  <c:v>0.192054</c:v>
                </c:pt>
                <c:pt idx="16">
                  <c:v>0.192052</c:v>
                </c:pt>
                <c:pt idx="17">
                  <c:v>0.19205</c:v>
                </c:pt>
                <c:pt idx="18">
                  <c:v>0.192048</c:v>
                </c:pt>
                <c:pt idx="19">
                  <c:v>0.192047</c:v>
                </c:pt>
                <c:pt idx="20">
                  <c:v>0.19204599999999999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89-49E3-8CFF-2ED0BC18C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91488"/>
        <c:axId val="957288160"/>
      </c:scatterChart>
      <c:valAx>
        <c:axId val="957291488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88160"/>
        <c:crosses val="autoZero"/>
        <c:crossBetween val="midCat"/>
      </c:valAx>
      <c:valAx>
        <c:axId val="95728816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9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v>clal 2x2 - Q8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SphAxys!$G$6:$G$36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2.1600500000000002E-3</c:v>
                </c:pt>
                <c:pt idx="2">
                  <c:v>6.9900600000000002E-3</c:v>
                </c:pt>
                <c:pt idx="3">
                  <c:v>1.7790299999999998E-2</c:v>
                </c:pt>
                <c:pt idx="4">
                  <c:v>4.07777E-2</c:v>
                </c:pt>
                <c:pt idx="5">
                  <c:v>6.8113199999999999E-2</c:v>
                </c:pt>
                <c:pt idx="6">
                  <c:v>9.7113099999999994E-2</c:v>
                </c:pt>
                <c:pt idx="7">
                  <c:v>0.127388</c:v>
                </c:pt>
                <c:pt idx="8">
                  <c:v>0.15912799999999999</c:v>
                </c:pt>
                <c:pt idx="9">
                  <c:v>0.19397300000000001</c:v>
                </c:pt>
                <c:pt idx="10">
                  <c:v>0.23375399999999999</c:v>
                </c:pt>
                <c:pt idx="11">
                  <c:v>0.27241900000000002</c:v>
                </c:pt>
                <c:pt idx="12">
                  <c:v>0.31130999999999998</c:v>
                </c:pt>
                <c:pt idx="13">
                  <c:v>0.35021099999999999</c:v>
                </c:pt>
                <c:pt idx="14">
                  <c:v>0.38919500000000001</c:v>
                </c:pt>
                <c:pt idx="15">
                  <c:v>0.42825000000000002</c:v>
                </c:pt>
                <c:pt idx="16">
                  <c:v>0.467364</c:v>
                </c:pt>
                <c:pt idx="17">
                  <c:v>0.50653000000000004</c:v>
                </c:pt>
                <c:pt idx="18">
                  <c:v>0.54563099999999998</c:v>
                </c:pt>
                <c:pt idx="19">
                  <c:v>0.58466499999999999</c:v>
                </c:pt>
                <c:pt idx="20">
                  <c:v>0.62369399999999997</c:v>
                </c:pt>
                <c:pt idx="21">
                  <c:v>0.66270700000000005</c:v>
                </c:pt>
                <c:pt idx="22">
                  <c:v>0.70170699999999997</c:v>
                </c:pt>
                <c:pt idx="23">
                  <c:v>0.74069700000000005</c:v>
                </c:pt>
                <c:pt idx="24">
                  <c:v>0.77967799999999998</c:v>
                </c:pt>
                <c:pt idx="25">
                  <c:v>0.81865200000000005</c:v>
                </c:pt>
                <c:pt idx="26">
                  <c:v>0.85761799999999999</c:v>
                </c:pt>
                <c:pt idx="27">
                  <c:v>0.89657900000000001</c:v>
                </c:pt>
                <c:pt idx="28">
                  <c:v>0.93553600000000003</c:v>
                </c:pt>
                <c:pt idx="29">
                  <c:v>0.97448699999999999</c:v>
                </c:pt>
                <c:pt idx="30">
                  <c:v>1.0134399999999999</c:v>
                </c:pt>
              </c:numCache>
            </c:numRef>
          </c:xVal>
          <c:yVal>
            <c:numRef>
              <c:f>SphAxys!$I$6:$I$36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1.512E-2</c:v>
                </c:pt>
                <c:pt idx="2">
                  <c:v>4.8929300000000002E-2</c:v>
                </c:pt>
                <c:pt idx="3">
                  <c:v>0.124529</c:v>
                </c:pt>
                <c:pt idx="4">
                  <c:v>0.233352</c:v>
                </c:pt>
                <c:pt idx="5">
                  <c:v>0.28740399999999999</c:v>
                </c:pt>
                <c:pt idx="6">
                  <c:v>0.31482100000000002</c:v>
                </c:pt>
                <c:pt idx="7">
                  <c:v>0.328073</c:v>
                </c:pt>
                <c:pt idx="8">
                  <c:v>0.33123799999999998</c:v>
                </c:pt>
                <c:pt idx="9">
                  <c:v>0.33178999999999997</c:v>
                </c:pt>
                <c:pt idx="10">
                  <c:v>0.332009</c:v>
                </c:pt>
                <c:pt idx="11">
                  <c:v>0.332011</c:v>
                </c:pt>
                <c:pt idx="12">
                  <c:v>0.33200499999999999</c:v>
                </c:pt>
                <c:pt idx="13">
                  <c:v>0.33199899999999999</c:v>
                </c:pt>
                <c:pt idx="14">
                  <c:v>0.33199899999999999</c:v>
                </c:pt>
                <c:pt idx="15">
                  <c:v>0.33200499999999999</c:v>
                </c:pt>
                <c:pt idx="16">
                  <c:v>0.33201199999999997</c:v>
                </c:pt>
                <c:pt idx="17">
                  <c:v>0.33201900000000001</c:v>
                </c:pt>
                <c:pt idx="18">
                  <c:v>0.33201700000000001</c:v>
                </c:pt>
                <c:pt idx="19">
                  <c:v>0.332009</c:v>
                </c:pt>
                <c:pt idx="20">
                  <c:v>0.33200400000000002</c:v>
                </c:pt>
                <c:pt idx="21">
                  <c:v>0.33199899999999999</c:v>
                </c:pt>
                <c:pt idx="22">
                  <c:v>0.33199600000000001</c:v>
                </c:pt>
                <c:pt idx="23">
                  <c:v>0.33199299999999998</c:v>
                </c:pt>
                <c:pt idx="24">
                  <c:v>0.33199000000000001</c:v>
                </c:pt>
                <c:pt idx="25">
                  <c:v>0.33198800000000001</c:v>
                </c:pt>
                <c:pt idx="26">
                  <c:v>0.331986</c:v>
                </c:pt>
                <c:pt idx="27">
                  <c:v>0.33198499999999997</c:v>
                </c:pt>
                <c:pt idx="28">
                  <c:v>0.33198299999999997</c:v>
                </c:pt>
                <c:pt idx="29">
                  <c:v>0.331982</c:v>
                </c:pt>
                <c:pt idx="30">
                  <c:v>0.33198100000000003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92-4882-9EA6-4013564B968B}"/>
            </c:ext>
          </c:extLst>
        </c:ser>
        <c:ser>
          <c:idx val="3"/>
          <c:order val="1"/>
          <c:tx>
            <c:v>clal 3x3 - Q8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SphAxys!$J$6:$J$36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2.1599499999999999E-3</c:v>
                </c:pt>
                <c:pt idx="2">
                  <c:v>6.9897300000000004E-3</c:v>
                </c:pt>
                <c:pt idx="3">
                  <c:v>1.77895E-2</c:v>
                </c:pt>
                <c:pt idx="4">
                  <c:v>4.0770800000000003E-2</c:v>
                </c:pt>
                <c:pt idx="5">
                  <c:v>6.8123400000000001E-2</c:v>
                </c:pt>
                <c:pt idx="6">
                  <c:v>9.7216999999999998E-2</c:v>
                </c:pt>
                <c:pt idx="7">
                  <c:v>0.127724</c:v>
                </c:pt>
                <c:pt idx="8">
                  <c:v>0.15958800000000001</c:v>
                </c:pt>
                <c:pt idx="9">
                  <c:v>0.19091900000000001</c:v>
                </c:pt>
                <c:pt idx="10">
                  <c:v>0.22209200000000001</c:v>
                </c:pt>
                <c:pt idx="11">
                  <c:v>0.25769199999999998</c:v>
                </c:pt>
                <c:pt idx="12">
                  <c:v>0.292846</c:v>
                </c:pt>
                <c:pt idx="13">
                  <c:v>0.328073</c:v>
                </c:pt>
                <c:pt idx="14">
                  <c:v>0.36327500000000001</c:v>
                </c:pt>
                <c:pt idx="15">
                  <c:v>0.398532</c:v>
                </c:pt>
                <c:pt idx="16">
                  <c:v>0.43382799999999999</c:v>
                </c:pt>
                <c:pt idx="17">
                  <c:v>0.46904499999999999</c:v>
                </c:pt>
                <c:pt idx="18">
                  <c:v>0.50428799999999996</c:v>
                </c:pt>
                <c:pt idx="19">
                  <c:v>0.53954100000000005</c:v>
                </c:pt>
                <c:pt idx="20">
                  <c:v>0.57480399999999998</c:v>
                </c:pt>
                <c:pt idx="21">
                  <c:v>0.61007900000000004</c:v>
                </c:pt>
                <c:pt idx="22">
                  <c:v>0.64536700000000002</c:v>
                </c:pt>
                <c:pt idx="23">
                  <c:v>0.68066700000000002</c:v>
                </c:pt>
                <c:pt idx="24">
                  <c:v>0.71597900000000003</c:v>
                </c:pt>
                <c:pt idx="25">
                  <c:v>0.75130399999999997</c:v>
                </c:pt>
                <c:pt idx="26">
                  <c:v>0.78664000000000001</c:v>
                </c:pt>
                <c:pt idx="27">
                  <c:v>0.82198800000000005</c:v>
                </c:pt>
                <c:pt idx="28">
                  <c:v>0.85734999999999995</c:v>
                </c:pt>
                <c:pt idx="29">
                  <c:v>0.89272700000000005</c:v>
                </c:pt>
                <c:pt idx="30">
                  <c:v>0.92811500000000002</c:v>
                </c:pt>
              </c:numCache>
            </c:numRef>
          </c:xVal>
          <c:yVal>
            <c:numRef>
              <c:f>SphAxys!$L$6:$L$36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1.512E-2</c:v>
                </c:pt>
                <c:pt idx="2">
                  <c:v>4.8929300000000002E-2</c:v>
                </c:pt>
                <c:pt idx="3">
                  <c:v>0.124529</c:v>
                </c:pt>
                <c:pt idx="4">
                  <c:v>0.233264</c:v>
                </c:pt>
                <c:pt idx="5">
                  <c:v>0.28742000000000001</c:v>
                </c:pt>
                <c:pt idx="6">
                  <c:v>0.31497700000000001</c:v>
                </c:pt>
                <c:pt idx="7">
                  <c:v>0.32803900000000003</c:v>
                </c:pt>
                <c:pt idx="8">
                  <c:v>0.33127400000000001</c:v>
                </c:pt>
                <c:pt idx="9">
                  <c:v>0.33174199999999998</c:v>
                </c:pt>
                <c:pt idx="10">
                  <c:v>0.33184399999999997</c:v>
                </c:pt>
                <c:pt idx="11">
                  <c:v>0.33198699999999998</c:v>
                </c:pt>
                <c:pt idx="12">
                  <c:v>0.33201599999999998</c:v>
                </c:pt>
                <c:pt idx="13">
                  <c:v>0.33202399999999999</c:v>
                </c:pt>
                <c:pt idx="14">
                  <c:v>0.33202199999999998</c:v>
                </c:pt>
                <c:pt idx="15">
                  <c:v>0.33202399999999999</c:v>
                </c:pt>
                <c:pt idx="16">
                  <c:v>0.33202900000000002</c:v>
                </c:pt>
                <c:pt idx="17">
                  <c:v>0.33202500000000001</c:v>
                </c:pt>
                <c:pt idx="18">
                  <c:v>0.33202599999999999</c:v>
                </c:pt>
                <c:pt idx="19">
                  <c:v>0.33202900000000002</c:v>
                </c:pt>
                <c:pt idx="20">
                  <c:v>0.33203300000000002</c:v>
                </c:pt>
                <c:pt idx="21">
                  <c:v>0.33203700000000003</c:v>
                </c:pt>
                <c:pt idx="22">
                  <c:v>0.33204299999999998</c:v>
                </c:pt>
                <c:pt idx="23">
                  <c:v>0.33204800000000001</c:v>
                </c:pt>
                <c:pt idx="24">
                  <c:v>0.33205499999999999</c:v>
                </c:pt>
                <c:pt idx="25">
                  <c:v>0.332061</c:v>
                </c:pt>
                <c:pt idx="26">
                  <c:v>0.332067</c:v>
                </c:pt>
                <c:pt idx="27">
                  <c:v>0.33207399999999998</c:v>
                </c:pt>
                <c:pt idx="28">
                  <c:v>0.33208100000000002</c:v>
                </c:pt>
                <c:pt idx="29">
                  <c:v>0.33208799999999999</c:v>
                </c:pt>
                <c:pt idx="30">
                  <c:v>0.33209499999999997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92-4882-9EA6-4013564B968B}"/>
            </c:ext>
          </c:extLst>
        </c:ser>
        <c:ser>
          <c:idx val="4"/>
          <c:order val="2"/>
          <c:tx>
            <c:v>Hill (ref.)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SphAxys!$X$21:$X$37</c:f>
              <c:numCache>
                <c:formatCode>General</c:formatCode>
                <c:ptCount val="17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0.02</c:v>
                </c:pt>
                <c:pt idx="6">
                  <c:v>2.6599999999999999E-2</c:v>
                </c:pt>
                <c:pt idx="7">
                  <c:v>3.4599999999999999E-2</c:v>
                </c:pt>
                <c:pt idx="8">
                  <c:v>4.3900000000000002E-2</c:v>
                </c:pt>
                <c:pt idx="9">
                  <c:v>5.4899999999999997E-2</c:v>
                </c:pt>
                <c:pt idx="10">
                  <c:v>6.7500000000000004E-2</c:v>
                </c:pt>
                <c:pt idx="11">
                  <c:v>8.1900000000000001E-2</c:v>
                </c:pt>
                <c:pt idx="12">
                  <c:v>9.8299999999999998E-2</c:v>
                </c:pt>
                <c:pt idx="13">
                  <c:v>0.1166</c:v>
                </c:pt>
                <c:pt idx="14">
                  <c:v>0.13719999999999999</c:v>
                </c:pt>
                <c:pt idx="15">
                  <c:v>0.16</c:v>
                </c:pt>
                <c:pt idx="16">
                  <c:v>1</c:v>
                </c:pt>
              </c:numCache>
            </c:numRef>
          </c:xVal>
          <c:yVal>
            <c:numRef>
              <c:f>SphAxys!$W$21:$W$37</c:f>
              <c:numCache>
                <c:formatCode>General</c:formatCode>
                <c:ptCount val="17"/>
                <c:pt idx="0">
                  <c:v>0</c:v>
                </c:pt>
                <c:pt idx="1">
                  <c:v>3.5000000000000003E-2</c:v>
                </c:pt>
                <c:pt idx="2">
                  <c:v>7.0000000000000007E-2</c:v>
                </c:pt>
                <c:pt idx="3">
                  <c:v>0.105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0.17910000000000001</c:v>
                </c:pt>
                <c:pt idx="7">
                  <c:v>0.21299999999999999</c:v>
                </c:pt>
                <c:pt idx="8">
                  <c:v>0.24199999999999999</c:v>
                </c:pt>
                <c:pt idx="9">
                  <c:v>0.2666</c:v>
                </c:pt>
                <c:pt idx="10">
                  <c:v>0.28710000000000002</c:v>
                </c:pt>
                <c:pt idx="11">
                  <c:v>0.30370000000000003</c:v>
                </c:pt>
                <c:pt idx="12">
                  <c:v>0.31640000000000001</c:v>
                </c:pt>
                <c:pt idx="13">
                  <c:v>0.32550000000000001</c:v>
                </c:pt>
                <c:pt idx="14">
                  <c:v>0.33090000000000003</c:v>
                </c:pt>
                <c:pt idx="15">
                  <c:v>0.3327</c:v>
                </c:pt>
                <c:pt idx="16">
                  <c:v>0.3327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92-4882-9EA6-4013564B9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91488"/>
        <c:axId val="957288160"/>
      </c:scatterChart>
      <c:valAx>
        <c:axId val="957291488"/>
        <c:scaling>
          <c:orientation val="minMax"/>
          <c:max val="0.1600000000000000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88160"/>
        <c:crosses val="autoZero"/>
        <c:crossBetween val="midCat"/>
      </c:valAx>
      <c:valAx>
        <c:axId val="957288160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9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clal 2x2 - Q8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PlateCircAxys!$D$4:$D$29</c:f>
              <c:numCache>
                <c:formatCode>0.0000</c:formatCode>
                <c:ptCount val="26"/>
                <c:pt idx="0" formatCode="General">
                  <c:v>0</c:v>
                </c:pt>
                <c:pt idx="1">
                  <c:v>9.0354000000000007E-3</c:v>
                </c:pt>
                <c:pt idx="2">
                  <c:v>2.71062E-2</c:v>
                </c:pt>
                <c:pt idx="3">
                  <c:v>6.3247800000000007E-2</c:v>
                </c:pt>
                <c:pt idx="4">
                  <c:v>0.13608400000000001</c:v>
                </c:pt>
                <c:pt idx="5">
                  <c:v>0.212614</c:v>
                </c:pt>
                <c:pt idx="6">
                  <c:v>0.28022200000000003</c:v>
                </c:pt>
                <c:pt idx="7">
                  <c:v>0.347418</c:v>
                </c:pt>
                <c:pt idx="8">
                  <c:v>0.41493000000000002</c:v>
                </c:pt>
                <c:pt idx="9">
                  <c:v>0.48294100000000001</c:v>
                </c:pt>
                <c:pt idx="10">
                  <c:v>0.55106200000000005</c:v>
                </c:pt>
                <c:pt idx="11">
                  <c:v>0.61926400000000004</c:v>
                </c:pt>
                <c:pt idx="12">
                  <c:v>0.68752599999999997</c:v>
                </c:pt>
                <c:pt idx="13">
                  <c:v>0.75582000000000005</c:v>
                </c:pt>
                <c:pt idx="14">
                  <c:v>0.82414699999999996</c:v>
                </c:pt>
                <c:pt idx="15">
                  <c:v>0.90307999999999999</c:v>
                </c:pt>
                <c:pt idx="16">
                  <c:v>0.98202800000000001</c:v>
                </c:pt>
                <c:pt idx="17">
                  <c:v>1.06098</c:v>
                </c:pt>
                <c:pt idx="18">
                  <c:v>1.13995</c:v>
                </c:pt>
                <c:pt idx="19">
                  <c:v>1.2189300000000001</c:v>
                </c:pt>
                <c:pt idx="20">
                  <c:v>1.29792</c:v>
                </c:pt>
                <c:pt idx="21">
                  <c:v>1.3769199999999999</c:v>
                </c:pt>
                <c:pt idx="22">
                  <c:v>1.4559200000000001</c:v>
                </c:pt>
                <c:pt idx="23">
                  <c:v>1.5349299999999999</c:v>
                </c:pt>
                <c:pt idx="24">
                  <c:v>1.61395</c:v>
                </c:pt>
                <c:pt idx="25">
                  <c:v>1.69296</c:v>
                </c:pt>
              </c:numCache>
            </c:numRef>
          </c:xVal>
          <c:yVal>
            <c:numRef>
              <c:f>PlateCircAxys!$C$4:$C$29</c:f>
              <c:numCache>
                <c:formatCode>0.00</c:formatCode>
                <c:ptCount val="26"/>
                <c:pt idx="0">
                  <c:v>0</c:v>
                </c:pt>
                <c:pt idx="1">
                  <c:v>12</c:v>
                </c:pt>
                <c:pt idx="2">
                  <c:v>36</c:v>
                </c:pt>
                <c:pt idx="3">
                  <c:v>84</c:v>
                </c:pt>
                <c:pt idx="4">
                  <c:v>177.48500000000001</c:v>
                </c:pt>
                <c:pt idx="5">
                  <c:v>215.35300000000001</c:v>
                </c:pt>
                <c:pt idx="6">
                  <c:v>230.93899999999999</c:v>
                </c:pt>
                <c:pt idx="7">
                  <c:v>237.976</c:v>
                </c:pt>
                <c:pt idx="8">
                  <c:v>243.63000000000002</c:v>
                </c:pt>
                <c:pt idx="9">
                  <c:v>247.83099999999999</c:v>
                </c:pt>
                <c:pt idx="10">
                  <c:v>251.10499999999999</c:v>
                </c:pt>
                <c:pt idx="11">
                  <c:v>253.554</c:v>
                </c:pt>
                <c:pt idx="12">
                  <c:v>255.67600000000002</c:v>
                </c:pt>
                <c:pt idx="13">
                  <c:v>257.32</c:v>
                </c:pt>
                <c:pt idx="14">
                  <c:v>258.61</c:v>
                </c:pt>
                <c:pt idx="15">
                  <c:v>259.69400000000002</c:v>
                </c:pt>
                <c:pt idx="16">
                  <c:v>260.351</c:v>
                </c:pt>
                <c:pt idx="17">
                  <c:v>260.59500000000003</c:v>
                </c:pt>
                <c:pt idx="18">
                  <c:v>260.64</c:v>
                </c:pt>
                <c:pt idx="19">
                  <c:v>260.67399999999998</c:v>
                </c:pt>
                <c:pt idx="20">
                  <c:v>260.70099999999996</c:v>
                </c:pt>
                <c:pt idx="21">
                  <c:v>260.72300000000001</c:v>
                </c:pt>
                <c:pt idx="22">
                  <c:v>260.74</c:v>
                </c:pt>
                <c:pt idx="23">
                  <c:v>260.755</c:v>
                </c:pt>
                <c:pt idx="24">
                  <c:v>260.767</c:v>
                </c:pt>
                <c:pt idx="25">
                  <c:v>260.77699999999999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3A-4430-9B79-EF1C9E939AA1}"/>
            </c:ext>
          </c:extLst>
        </c:ser>
        <c:ser>
          <c:idx val="4"/>
          <c:order val="1"/>
          <c:tx>
            <c:v>clal 2x2 - B20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PlateCirc3D!$O$5:$O$17</c:f>
              <c:numCache>
                <c:formatCode>0.00E+00</c:formatCode>
                <c:ptCount val="13"/>
                <c:pt idx="0" formatCode="General">
                  <c:v>0</c:v>
                </c:pt>
                <c:pt idx="1">
                  <c:v>7.5152500000000002E-3</c:v>
                </c:pt>
                <c:pt idx="2">
                  <c:v>2.59238E-2</c:v>
                </c:pt>
                <c:pt idx="3">
                  <c:v>7.1015200000000001E-2</c:v>
                </c:pt>
                <c:pt idx="4">
                  <c:v>0.18735399999999999</c:v>
                </c:pt>
                <c:pt idx="5">
                  <c:v>0.31725799999999998</c:v>
                </c:pt>
                <c:pt idx="6">
                  <c:v>0.45638099999999998</c:v>
                </c:pt>
                <c:pt idx="7">
                  <c:v>0.59765800000000002</c:v>
                </c:pt>
                <c:pt idx="8">
                  <c:v>0.81116500000000002</c:v>
                </c:pt>
                <c:pt idx="9">
                  <c:v>1.07036</c:v>
                </c:pt>
                <c:pt idx="10">
                  <c:v>1.2261599999999999</c:v>
                </c:pt>
                <c:pt idx="11">
                  <c:v>1.3582399999999999</c:v>
                </c:pt>
                <c:pt idx="12">
                  <c:v>1.6154200000000001</c:v>
                </c:pt>
              </c:numCache>
            </c:numRef>
          </c:xVal>
          <c:yVal>
            <c:numRef>
              <c:f>PlateCirc3D!$Q$5:$Q$17</c:f>
              <c:numCache>
                <c:formatCode>0.00E+00</c:formatCode>
                <c:ptCount val="13"/>
                <c:pt idx="0" formatCode="General">
                  <c:v>0</c:v>
                </c:pt>
                <c:pt idx="1">
                  <c:v>10</c:v>
                </c:pt>
                <c:pt idx="2">
                  <c:v>34.494900000000001</c:v>
                </c:pt>
                <c:pt idx="3">
                  <c:v>94.494900000000001</c:v>
                </c:pt>
                <c:pt idx="4">
                  <c:v>206.86499999999998</c:v>
                </c:pt>
                <c:pt idx="5">
                  <c:v>235.44200000000001</c:v>
                </c:pt>
                <c:pt idx="6">
                  <c:v>246.678</c:v>
                </c:pt>
                <c:pt idx="7">
                  <c:v>253.24</c:v>
                </c:pt>
                <c:pt idx="8">
                  <c:v>258.62400000000002</c:v>
                </c:pt>
                <c:pt idx="9">
                  <c:v>260.387</c:v>
                </c:pt>
                <c:pt idx="10">
                  <c:v>259.61799999999999</c:v>
                </c:pt>
                <c:pt idx="11">
                  <c:v>259.34399999999999</c:v>
                </c:pt>
                <c:pt idx="12">
                  <c:v>260.22399999999999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E1-4ECD-BD5E-BEF802F607E4}"/>
            </c:ext>
          </c:extLst>
        </c:ser>
        <c:ser>
          <c:idx val="3"/>
          <c:order val="2"/>
          <c:tx>
            <c:v>clal 3x3 - B20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PlateCirc3D!$J$5:$J$19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7.5050300000000002E-3</c:v>
                </c:pt>
                <c:pt idx="2">
                  <c:v>2.5888499999999998E-2</c:v>
                </c:pt>
                <c:pt idx="3">
                  <c:v>7.0918700000000001E-2</c:v>
                </c:pt>
                <c:pt idx="4">
                  <c:v>0.18521299999999999</c:v>
                </c:pt>
                <c:pt idx="5">
                  <c:v>0.31888499999999997</c:v>
                </c:pt>
                <c:pt idx="6">
                  <c:v>0.46178200000000003</c:v>
                </c:pt>
                <c:pt idx="7">
                  <c:v>0.63485100000000005</c:v>
                </c:pt>
                <c:pt idx="8">
                  <c:v>0.846862</c:v>
                </c:pt>
                <c:pt idx="9">
                  <c:v>1.10686</c:v>
                </c:pt>
                <c:pt idx="10">
                  <c:v>1.42333</c:v>
                </c:pt>
                <c:pt idx="11">
                  <c:v>1.77119</c:v>
                </c:pt>
                <c:pt idx="12">
                  <c:v>2.08779</c:v>
                </c:pt>
                <c:pt idx="13">
                  <c:v>2.50596</c:v>
                </c:pt>
                <c:pt idx="14">
                  <c:v>2.9798800000000001</c:v>
                </c:pt>
              </c:numCache>
            </c:numRef>
          </c:xVal>
          <c:yVal>
            <c:numRef>
              <c:f>PlateCirc3D!$L$5:$L$19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10</c:v>
                </c:pt>
                <c:pt idx="2">
                  <c:v>34.494900000000001</c:v>
                </c:pt>
                <c:pt idx="3">
                  <c:v>94.494900000000001</c:v>
                </c:pt>
                <c:pt idx="4">
                  <c:v>211.67600000000002</c:v>
                </c:pt>
                <c:pt idx="5">
                  <c:v>242.95399999999998</c:v>
                </c:pt>
                <c:pt idx="6">
                  <c:v>251.57400000000001</c:v>
                </c:pt>
                <c:pt idx="7">
                  <c:v>254.405</c:v>
                </c:pt>
                <c:pt idx="8">
                  <c:v>257.12600000000003</c:v>
                </c:pt>
                <c:pt idx="9">
                  <c:v>259.09800000000001</c:v>
                </c:pt>
                <c:pt idx="10">
                  <c:v>260.435</c:v>
                </c:pt>
                <c:pt idx="11">
                  <c:v>260.97899999999998</c:v>
                </c:pt>
                <c:pt idx="12">
                  <c:v>260.72899999999998</c:v>
                </c:pt>
                <c:pt idx="13">
                  <c:v>261.06200000000001</c:v>
                </c:pt>
                <c:pt idx="14">
                  <c:v>261.06200000000001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E1-4ECD-BD5E-BEF802F607E4}"/>
            </c:ext>
          </c:extLst>
        </c:ser>
        <c:ser>
          <c:idx val="2"/>
          <c:order val="3"/>
          <c:tx>
            <c:v>Souza Neto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PlateCircAxys!$O$4:$O$15</c:f>
              <c:numCache>
                <c:formatCode>0.0000</c:formatCode>
                <c:ptCount val="12"/>
                <c:pt idx="0" formatCode="General">
                  <c:v>0</c:v>
                </c:pt>
                <c:pt idx="1">
                  <c:v>7.4999999999999997E-2</c:v>
                </c:pt>
                <c:pt idx="2">
                  <c:v>0.13227</c:v>
                </c:pt>
                <c:pt idx="3">
                  <c:v>0.17459</c:v>
                </c:pt>
                <c:pt idx="4">
                  <c:v>0.23139000000000001</c:v>
                </c:pt>
                <c:pt idx="5">
                  <c:v>0.27578000000000003</c:v>
                </c:pt>
                <c:pt idx="6">
                  <c:v>0.37672</c:v>
                </c:pt>
                <c:pt idx="7">
                  <c:v>0.54159999999999997</c:v>
                </c:pt>
                <c:pt idx="8">
                  <c:v>0.69166000000000005</c:v>
                </c:pt>
                <c:pt idx="9">
                  <c:v>0.77529000000000003</c:v>
                </c:pt>
                <c:pt idx="10">
                  <c:v>0.92532000000000003</c:v>
                </c:pt>
                <c:pt idx="11">
                  <c:v>1.3507</c:v>
                </c:pt>
              </c:numCache>
            </c:numRef>
          </c:xVal>
          <c:yVal>
            <c:numRef>
              <c:f>PlateCircAxys!$P$4:$P$15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157.71</c:v>
                </c:pt>
                <c:pt idx="3">
                  <c:v>200</c:v>
                </c:pt>
                <c:pt idx="4">
                  <c:v>220</c:v>
                </c:pt>
                <c:pt idx="5">
                  <c:v>230.29</c:v>
                </c:pt>
                <c:pt idx="6">
                  <c:v>240</c:v>
                </c:pt>
                <c:pt idx="7">
                  <c:v>250.29</c:v>
                </c:pt>
                <c:pt idx="8">
                  <c:v>254.86</c:v>
                </c:pt>
                <c:pt idx="9">
                  <c:v>257.14</c:v>
                </c:pt>
                <c:pt idx="10">
                  <c:v>259.43</c:v>
                </c:pt>
                <c:pt idx="11">
                  <c:v>259.8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3A-4430-9B79-EF1C9E939AA1}"/>
            </c:ext>
          </c:extLst>
        </c:ser>
        <c:ser>
          <c:idx val="1"/>
          <c:order val="4"/>
          <c:tx>
            <c:v>Plim (ref.)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PlateCircAxys!$G$23:$G$24</c:f>
              <c:numCache>
                <c:formatCode>General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xVal>
          <c:yVal>
            <c:numRef>
              <c:f>PlateCircAxys!$H$23:$H$24</c:f>
              <c:numCache>
                <c:formatCode>General</c:formatCode>
                <c:ptCount val="2"/>
                <c:pt idx="0">
                  <c:v>260.8</c:v>
                </c:pt>
                <c:pt idx="1">
                  <c:v>260.8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3A-4430-9B79-EF1C9E939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447968"/>
        <c:axId val="1541665264"/>
      </c:scatterChart>
      <c:valAx>
        <c:axId val="1404447968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1665264"/>
        <c:crosses val="autoZero"/>
        <c:crossBetween val="midCat"/>
      </c:valAx>
      <c:valAx>
        <c:axId val="15416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4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 = 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PlateCircAxys!$S$9:$AC$9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PlateCircAxys!$S$6:$AC$6</c:f>
              <c:numCache>
                <c:formatCode>0.00E+00</c:formatCode>
                <c:ptCount val="11"/>
                <c:pt idx="0">
                  <c:v>-7.5295000000000001E-2</c:v>
                </c:pt>
                <c:pt idx="1">
                  <c:v>-7.4385499999999993E-2</c:v>
                </c:pt>
                <c:pt idx="2">
                  <c:v>-7.1606600000000006E-2</c:v>
                </c:pt>
                <c:pt idx="3">
                  <c:v>-6.7089300000000004E-2</c:v>
                </c:pt>
                <c:pt idx="4">
                  <c:v>-6.0873799999999999E-2</c:v>
                </c:pt>
                <c:pt idx="5">
                  <c:v>-5.3180400000000003E-2</c:v>
                </c:pt>
                <c:pt idx="6">
                  <c:v>-4.4118299999999999E-2</c:v>
                </c:pt>
                <c:pt idx="7">
                  <c:v>-3.4014700000000002E-2</c:v>
                </c:pt>
                <c:pt idx="8">
                  <c:v>-2.3031099999999999E-2</c:v>
                </c:pt>
                <c:pt idx="9">
                  <c:v>-1.16271E-2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4-4016-8D20-349489249CC2}"/>
            </c:ext>
          </c:extLst>
        </c:ser>
        <c:ser>
          <c:idx val="1"/>
          <c:order val="1"/>
          <c:tx>
            <c:v>P = 200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PlateCircAxys!$S$9:$AC$9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PlateCircAxys!$S$7:$AC$7</c:f>
              <c:numCache>
                <c:formatCode>0.00E+00</c:formatCode>
                <c:ptCount val="11"/>
                <c:pt idx="0">
                  <c:v>-0.17263999999999999</c:v>
                </c:pt>
                <c:pt idx="1">
                  <c:v>-0.17016200000000001</c:v>
                </c:pt>
                <c:pt idx="2">
                  <c:v>-0.162825</c:v>
                </c:pt>
                <c:pt idx="3">
                  <c:v>-0.15117800000000001</c:v>
                </c:pt>
                <c:pt idx="4">
                  <c:v>-0.13580800000000001</c:v>
                </c:pt>
                <c:pt idx="5">
                  <c:v>-0.117534</c:v>
                </c:pt>
                <c:pt idx="6">
                  <c:v>-9.67808E-2</c:v>
                </c:pt>
                <c:pt idx="7">
                  <c:v>-7.4229100000000006E-2</c:v>
                </c:pt>
                <c:pt idx="8">
                  <c:v>-5.0090000000000003E-2</c:v>
                </c:pt>
                <c:pt idx="9">
                  <c:v>-2.5233599999999998E-2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4-4016-8D20-349489249CC2}"/>
            </c:ext>
          </c:extLst>
        </c:ser>
        <c:ser>
          <c:idx val="2"/>
          <c:order val="2"/>
          <c:tx>
            <c:v>P = 250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PlateCircAxys!$S$9:$AC$9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PlateCircAxys!$S$8:$AC$8</c:f>
              <c:numCache>
                <c:formatCode>0.00E+00</c:formatCode>
                <c:ptCount val="11"/>
                <c:pt idx="0">
                  <c:v>-0.52673999999999999</c:v>
                </c:pt>
                <c:pt idx="1">
                  <c:v>-0.51801799999999998</c:v>
                </c:pt>
                <c:pt idx="2">
                  <c:v>-0.49265599999999998</c:v>
                </c:pt>
                <c:pt idx="3">
                  <c:v>-0.45310699999999998</c:v>
                </c:pt>
                <c:pt idx="4">
                  <c:v>-0.40218999999999999</c:v>
                </c:pt>
                <c:pt idx="5">
                  <c:v>-0.343107</c:v>
                </c:pt>
                <c:pt idx="6">
                  <c:v>-0.27804299999999998</c:v>
                </c:pt>
                <c:pt idx="7">
                  <c:v>-0.20966099999999999</c:v>
                </c:pt>
                <c:pt idx="8">
                  <c:v>-0.1394</c:v>
                </c:pt>
                <c:pt idx="9">
                  <c:v>-6.9305099999999994E-2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4-4016-8D20-349489249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088319"/>
        <c:axId val="543084575"/>
      </c:scatterChart>
      <c:valAx>
        <c:axId val="5430883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Normalised</a:t>
                </a:r>
                <a:r>
                  <a:rPr lang="pt-BR" baseline="0"/>
                  <a:t> radial coordinate (r/R)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084575"/>
        <c:crossesAt val="-0.60000000000000009"/>
        <c:crossBetween val="midCat"/>
      </c:valAx>
      <c:valAx>
        <c:axId val="54308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Normalised deflection (v/h)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08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lcm 2x2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CylPlast2D!$H$5:$H$24</c:f>
              <c:numCache>
                <c:formatCode>0.00E+00</c:formatCode>
                <c:ptCount val="20"/>
                <c:pt idx="0" formatCode="General">
                  <c:v>0</c:v>
                </c:pt>
                <c:pt idx="1">
                  <c:v>5.7778500000000002E-3</c:v>
                </c:pt>
                <c:pt idx="2">
                  <c:v>1.15557E-2</c:v>
                </c:pt>
                <c:pt idx="3">
                  <c:v>1.7333600000000001E-2</c:v>
                </c:pt>
                <c:pt idx="4">
                  <c:v>2.3111400000000001E-2</c:v>
                </c:pt>
                <c:pt idx="5">
                  <c:v>2.88893E-2</c:v>
                </c:pt>
                <c:pt idx="6">
                  <c:v>3.4667099999999999E-2</c:v>
                </c:pt>
                <c:pt idx="7">
                  <c:v>4.0445000000000002E-2</c:v>
                </c:pt>
                <c:pt idx="8">
                  <c:v>4.6222800000000001E-2</c:v>
                </c:pt>
                <c:pt idx="9">
                  <c:v>5.2000699999999997E-2</c:v>
                </c:pt>
                <c:pt idx="10">
                  <c:v>5.7778499999999997E-2</c:v>
                </c:pt>
                <c:pt idx="11">
                  <c:v>6.3631499999999994E-2</c:v>
                </c:pt>
                <c:pt idx="12">
                  <c:v>7.0450600000000002E-2</c:v>
                </c:pt>
                <c:pt idx="13">
                  <c:v>7.8129799999999999E-2</c:v>
                </c:pt>
                <c:pt idx="14">
                  <c:v>8.7329199999999996E-2</c:v>
                </c:pt>
                <c:pt idx="15">
                  <c:v>9.8109299999999997E-2</c:v>
                </c:pt>
                <c:pt idx="16">
                  <c:v>0.111625</c:v>
                </c:pt>
                <c:pt idx="17">
                  <c:v>0.12892999999999999</c:v>
                </c:pt>
                <c:pt idx="18">
                  <c:v>0.15381</c:v>
                </c:pt>
                <c:pt idx="19">
                  <c:v>0.20435800000000001</c:v>
                </c:pt>
              </c:numCache>
            </c:numRef>
          </c:xVal>
          <c:yVal>
            <c:numRef>
              <c:f>CylPlast2D!$G$5:$G$24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0.11000000000000001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7E-4557-AD44-AAE19D65ABC2}"/>
            </c:ext>
          </c:extLst>
        </c:ser>
        <c:ser>
          <c:idx val="1"/>
          <c:order val="1"/>
          <c:tx>
            <c:v>lcm 3x3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CylPlast2D!$E$5:$E$27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5.7777000000000002E-3</c:v>
                </c:pt>
                <c:pt idx="2">
                  <c:v>1.15554E-2</c:v>
                </c:pt>
                <c:pt idx="3">
                  <c:v>1.7333100000000001E-2</c:v>
                </c:pt>
                <c:pt idx="4">
                  <c:v>2.3110800000000001E-2</c:v>
                </c:pt>
                <c:pt idx="5">
                  <c:v>2.8888500000000001E-2</c:v>
                </c:pt>
                <c:pt idx="6">
                  <c:v>3.4666200000000001E-2</c:v>
                </c:pt>
                <c:pt idx="7">
                  <c:v>4.0443899999999998E-2</c:v>
                </c:pt>
                <c:pt idx="8">
                  <c:v>4.6221600000000002E-2</c:v>
                </c:pt>
                <c:pt idx="9">
                  <c:v>5.1999299999999998E-2</c:v>
                </c:pt>
                <c:pt idx="10">
                  <c:v>5.7777000000000002E-2</c:v>
                </c:pt>
                <c:pt idx="11">
                  <c:v>6.3716599999999998E-2</c:v>
                </c:pt>
                <c:pt idx="12">
                  <c:v>7.0479700000000006E-2</c:v>
                </c:pt>
                <c:pt idx="13">
                  <c:v>7.8159500000000007E-2</c:v>
                </c:pt>
                <c:pt idx="14">
                  <c:v>8.7347999999999995E-2</c:v>
                </c:pt>
                <c:pt idx="15">
                  <c:v>9.8205500000000001E-2</c:v>
                </c:pt>
                <c:pt idx="16">
                  <c:v>0.111613</c:v>
                </c:pt>
                <c:pt idx="17">
                  <c:v>0.12906999999999999</c:v>
                </c:pt>
                <c:pt idx="18">
                  <c:v>0.15357599999999999</c:v>
                </c:pt>
                <c:pt idx="19">
                  <c:v>0.20106499999999999</c:v>
                </c:pt>
                <c:pt idx="20">
                  <c:v>1144.49</c:v>
                </c:pt>
                <c:pt idx="21">
                  <c:v>2428.3200000000002</c:v>
                </c:pt>
                <c:pt idx="22">
                  <c:v>3661.9</c:v>
                </c:pt>
              </c:numCache>
            </c:numRef>
          </c:xVal>
          <c:yVal>
            <c:numRef>
              <c:f>CylPlast2D!$D$5:$D$27</c:f>
              <c:numCache>
                <c:formatCode>0.00</c:formatCode>
                <c:ptCount val="2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0.11000000000000001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7E-4557-AD44-AAE19D65ABC2}"/>
            </c:ext>
          </c:extLst>
        </c:ser>
        <c:ser>
          <c:idx val="2"/>
          <c:order val="2"/>
          <c:tx>
            <c:v>clal 2x2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CylPlast2D!$H$32:$H$39</c:f>
              <c:numCache>
                <c:formatCode>General</c:formatCode>
                <c:ptCount val="8"/>
                <c:pt idx="0">
                  <c:v>0</c:v>
                </c:pt>
                <c:pt idx="1">
                  <c:v>5.5467399999999997E-3</c:v>
                </c:pt>
                <c:pt idx="2">
                  <c:v>1.79496E-2</c:v>
                </c:pt>
                <c:pt idx="3">
                  <c:v>4.5683299999999996E-2</c:v>
                </c:pt>
                <c:pt idx="4">
                  <c:v>0.106722</c:v>
                </c:pt>
                <c:pt idx="5">
                  <c:v>0.17091299999999998</c:v>
                </c:pt>
                <c:pt idx="6">
                  <c:v>0.23657999999999998</c:v>
                </c:pt>
                <c:pt idx="7">
                  <c:v>0.29108999999999996</c:v>
                </c:pt>
              </c:numCache>
            </c:numRef>
          </c:xVal>
          <c:yVal>
            <c:numRef>
              <c:f>CylPlast2D!$G$32:$G$39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9.5999999999999992E-3</c:v>
                </c:pt>
                <c:pt idx="2">
                  <c:v>3.1066300000000002E-2</c:v>
                </c:pt>
                <c:pt idx="3">
                  <c:v>7.9066300000000006E-2</c:v>
                </c:pt>
                <c:pt idx="4">
                  <c:v>0.15659200000000001</c:v>
                </c:pt>
                <c:pt idx="5">
                  <c:v>0.18455299999999999</c:v>
                </c:pt>
                <c:pt idx="6">
                  <c:v>0.191382</c:v>
                </c:pt>
                <c:pt idx="7" formatCode="0.00E+00">
                  <c:v>0.191746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7E-4557-AD44-AAE19D65ABC2}"/>
            </c:ext>
          </c:extLst>
        </c:ser>
        <c:ser>
          <c:idx val="3"/>
          <c:order val="3"/>
          <c:tx>
            <c:v>clal 3x3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CylPlast2D!$E$32:$E$54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5.7777000000000002E-3</c:v>
                </c:pt>
                <c:pt idx="2">
                  <c:v>1.8696999999999998E-2</c:v>
                </c:pt>
                <c:pt idx="3">
                  <c:v>4.7585599999999999E-2</c:v>
                </c:pt>
                <c:pt idx="4">
                  <c:v>0.111</c:v>
                </c:pt>
                <c:pt idx="5">
                  <c:v>0.177284</c:v>
                </c:pt>
                <c:pt idx="6">
                  <c:v>0.239034</c:v>
                </c:pt>
                <c:pt idx="7">
                  <c:v>0.29883100000000001</c:v>
                </c:pt>
                <c:pt idx="8">
                  <c:v>0.354101</c:v>
                </c:pt>
                <c:pt idx="9">
                  <c:v>0.408252</c:v>
                </c:pt>
                <c:pt idx="10">
                  <c:v>0.46226899999999999</c:v>
                </c:pt>
                <c:pt idx="11">
                  <c:v>0.51639199999999996</c:v>
                </c:pt>
                <c:pt idx="12">
                  <c:v>0.57065699999999997</c:v>
                </c:pt>
                <c:pt idx="13">
                  <c:v>0.62504899999999997</c:v>
                </c:pt>
                <c:pt idx="14">
                  <c:v>0.67954700000000001</c:v>
                </c:pt>
                <c:pt idx="15">
                  <c:v>0.73413700000000004</c:v>
                </c:pt>
                <c:pt idx="16">
                  <c:v>0.78880399999999995</c:v>
                </c:pt>
                <c:pt idx="17">
                  <c:v>0.84353800000000001</c:v>
                </c:pt>
                <c:pt idx="18">
                  <c:v>0.89832999999999996</c:v>
                </c:pt>
                <c:pt idx="19">
                  <c:v>0.95317300000000005</c:v>
                </c:pt>
                <c:pt idx="20">
                  <c:v>1.00806</c:v>
                </c:pt>
                <c:pt idx="21">
                  <c:v>1.0629900000000001</c:v>
                </c:pt>
                <c:pt idx="22">
                  <c:v>1.11795</c:v>
                </c:pt>
              </c:numCache>
            </c:numRef>
          </c:xVal>
          <c:yVal>
            <c:numRef>
              <c:f>CylPlast2D!$D$32:$D$54</c:f>
              <c:numCache>
                <c:formatCode>0.00</c:formatCode>
                <c:ptCount val="23"/>
                <c:pt idx="0">
                  <c:v>0</c:v>
                </c:pt>
                <c:pt idx="1">
                  <c:v>0.01</c:v>
                </c:pt>
                <c:pt idx="2">
                  <c:v>3.2360699999999999E-2</c:v>
                </c:pt>
                <c:pt idx="3">
                  <c:v>8.2360699999999995E-2</c:v>
                </c:pt>
                <c:pt idx="4">
                  <c:v>0.15959000000000001</c:v>
                </c:pt>
                <c:pt idx="5">
                  <c:v>0.18601799999999999</c:v>
                </c:pt>
                <c:pt idx="6">
                  <c:v>0.191443</c:v>
                </c:pt>
                <c:pt idx="7">
                  <c:v>0.191803</c:v>
                </c:pt>
                <c:pt idx="8">
                  <c:v>0.191967</c:v>
                </c:pt>
                <c:pt idx="9">
                  <c:v>0.19203300000000001</c:v>
                </c:pt>
                <c:pt idx="10">
                  <c:v>0.192056</c:v>
                </c:pt>
                <c:pt idx="11">
                  <c:v>0.19206200000000001</c:v>
                </c:pt>
                <c:pt idx="12">
                  <c:v>0.19206200000000001</c:v>
                </c:pt>
                <c:pt idx="13">
                  <c:v>0.19205900000000001</c:v>
                </c:pt>
                <c:pt idx="14">
                  <c:v>0.192056</c:v>
                </c:pt>
                <c:pt idx="15">
                  <c:v>0.192054</c:v>
                </c:pt>
                <c:pt idx="16">
                  <c:v>0.192051</c:v>
                </c:pt>
                <c:pt idx="17">
                  <c:v>0.192049</c:v>
                </c:pt>
                <c:pt idx="18">
                  <c:v>0.192047</c:v>
                </c:pt>
                <c:pt idx="19">
                  <c:v>0.19204599999999999</c:v>
                </c:pt>
                <c:pt idx="20">
                  <c:v>0.19204499999999999</c:v>
                </c:pt>
                <c:pt idx="21">
                  <c:v>0.19204399999999999</c:v>
                </c:pt>
                <c:pt idx="22">
                  <c:v>0.19204399999999999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7E-4557-AD44-AAE19D65ABC2}"/>
            </c:ext>
          </c:extLst>
        </c:ser>
        <c:ser>
          <c:idx val="4"/>
          <c:order val="4"/>
          <c:tx>
            <c:v>Hill (Ref.)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CylPlast2D!$O$42:$O$58</c:f>
              <c:numCache>
                <c:formatCode>General</c:formatCode>
                <c:ptCount val="17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0.06</c:v>
                </c:pt>
                <c:pt idx="6">
                  <c:v>7.2700000000000001E-2</c:v>
                </c:pt>
                <c:pt idx="7">
                  <c:v>8.6499999999999994E-2</c:v>
                </c:pt>
                <c:pt idx="8">
                  <c:v>0.10150000000000001</c:v>
                </c:pt>
                <c:pt idx="9">
                  <c:v>0.1177</c:v>
                </c:pt>
                <c:pt idx="10">
                  <c:v>0.1351</c:v>
                </c:pt>
                <c:pt idx="11">
                  <c:v>0.1537</c:v>
                </c:pt>
                <c:pt idx="12">
                  <c:v>0.17349999999999999</c:v>
                </c:pt>
                <c:pt idx="13">
                  <c:v>0.19450000000000001</c:v>
                </c:pt>
                <c:pt idx="14">
                  <c:v>0.21679999999999999</c:v>
                </c:pt>
                <c:pt idx="15">
                  <c:v>0.2402</c:v>
                </c:pt>
                <c:pt idx="16">
                  <c:v>1</c:v>
                </c:pt>
              </c:numCache>
            </c:numRef>
          </c:xVal>
          <c:yVal>
            <c:numRef>
              <c:f>CylPlast2D!$N$42:$N$58</c:f>
              <c:numCache>
                <c:formatCode>General</c:formatCode>
                <c:ptCount val="17"/>
                <c:pt idx="0">
                  <c:v>0</c:v>
                </c:pt>
                <c:pt idx="1">
                  <c:v>2.5999999999999999E-2</c:v>
                </c:pt>
                <c:pt idx="2">
                  <c:v>5.1999999999999998E-2</c:v>
                </c:pt>
                <c:pt idx="3">
                  <c:v>7.7899999999999997E-2</c:v>
                </c:pt>
                <c:pt idx="4">
                  <c:v>0.10390000000000001</c:v>
                </c:pt>
                <c:pt idx="5">
                  <c:v>0.10390000000000001</c:v>
                </c:pt>
                <c:pt idx="6">
                  <c:v>0.1231</c:v>
                </c:pt>
                <c:pt idx="7">
                  <c:v>0.13919999999999999</c:v>
                </c:pt>
                <c:pt idx="8">
                  <c:v>0.1527</c:v>
                </c:pt>
                <c:pt idx="9">
                  <c:v>0.16389999999999999</c:v>
                </c:pt>
                <c:pt idx="10">
                  <c:v>0.17299999999999999</c:v>
                </c:pt>
                <c:pt idx="11">
                  <c:v>0.18010000000000001</c:v>
                </c:pt>
                <c:pt idx="12">
                  <c:v>0.1855</c:v>
                </c:pt>
                <c:pt idx="13">
                  <c:v>0.18920000000000001</c:v>
                </c:pt>
                <c:pt idx="14">
                  <c:v>0.19139999999999999</c:v>
                </c:pt>
                <c:pt idx="15">
                  <c:v>0.19209999999999999</c:v>
                </c:pt>
                <c:pt idx="16">
                  <c:v>0.19209999999999999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7E-4557-AD44-AAE19D65ABC2}"/>
            </c:ext>
          </c:extLst>
        </c:ser>
        <c:ser>
          <c:idx val="5"/>
          <c:order val="5"/>
          <c:tx>
            <c:v>ABAQUS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CylPlast2D!$T$52:$T$67</c:f>
              <c:numCache>
                <c:formatCode>General</c:formatCode>
                <c:ptCount val="16"/>
                <c:pt idx="0">
                  <c:v>0</c:v>
                </c:pt>
                <c:pt idx="1">
                  <c:v>1.1565799999999999E-3</c:v>
                </c:pt>
                <c:pt idx="2">
                  <c:v>2.3131699999999998E-3</c:v>
                </c:pt>
                <c:pt idx="3">
                  <c:v>4.04806E-3</c:v>
                </c:pt>
                <c:pt idx="4">
                  <c:v>6.6504099999999998E-3</c:v>
                </c:pt>
                <c:pt idx="5">
                  <c:v>1.0553999999999999E-2</c:v>
                </c:pt>
                <c:pt idx="6">
                  <c:v>1.64095E-2</c:v>
                </c:pt>
                <c:pt idx="7">
                  <c:v>2.5193E-2</c:v>
                </c:pt>
                <c:pt idx="8">
                  <c:v>3.8368800000000002E-2</c:v>
                </c:pt>
                <c:pt idx="9">
                  <c:v>5.8135300000000001E-2</c:v>
                </c:pt>
                <c:pt idx="10">
                  <c:v>8.7576399999999999E-2</c:v>
                </c:pt>
                <c:pt idx="11">
                  <c:v>0.13022500000000001</c:v>
                </c:pt>
                <c:pt idx="12">
                  <c:v>0.191222</c:v>
                </c:pt>
                <c:pt idx="13">
                  <c:v>0.27909499999999998</c:v>
                </c:pt>
                <c:pt idx="14">
                  <c:v>0.409549</c:v>
                </c:pt>
                <c:pt idx="15">
                  <c:v>0.60467099999999996</c:v>
                </c:pt>
              </c:numCache>
            </c:numRef>
          </c:xVal>
          <c:yVal>
            <c:numRef>
              <c:f>CylPlast2D!$V$52:$V$67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2E-3</c:v>
                </c:pt>
                <c:pt idx="2">
                  <c:v>3.9998799999999999E-3</c:v>
                </c:pt>
                <c:pt idx="3">
                  <c:v>6.9994899999999997E-3</c:v>
                </c:pt>
                <c:pt idx="4">
                  <c:v>1.1498400000000001E-2</c:v>
                </c:pt>
                <c:pt idx="5">
                  <c:v>1.82458E-2</c:v>
                </c:pt>
                <c:pt idx="6">
                  <c:v>2.8364400000000001E-2</c:v>
                </c:pt>
                <c:pt idx="7">
                  <c:v>4.3536999999999999E-2</c:v>
                </c:pt>
                <c:pt idx="8">
                  <c:v>6.6283899999999993E-2</c:v>
                </c:pt>
                <c:pt idx="9">
                  <c:v>0.100373</c:v>
                </c:pt>
                <c:pt idx="10">
                  <c:v>0.13997699999999999</c:v>
                </c:pt>
                <c:pt idx="11">
                  <c:v>0.170048</c:v>
                </c:pt>
                <c:pt idx="12">
                  <c:v>0.18754699999999999</c:v>
                </c:pt>
                <c:pt idx="13">
                  <c:v>0.190554</c:v>
                </c:pt>
                <c:pt idx="14">
                  <c:v>0.19036400000000001</c:v>
                </c:pt>
                <c:pt idx="15">
                  <c:v>0.18970300000000001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C8-450C-ACBB-0A4FFBC4E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91488"/>
        <c:axId val="957288160"/>
      </c:scatterChart>
      <c:valAx>
        <c:axId val="957291488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88160"/>
        <c:crosses val="autoZero"/>
        <c:crossBetween val="midCat"/>
      </c:valAx>
      <c:valAx>
        <c:axId val="95728816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9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v>clal 2x2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CylPlast2D!$H$32:$H$38</c:f>
              <c:numCache>
                <c:formatCode>General</c:formatCode>
                <c:ptCount val="7"/>
                <c:pt idx="0">
                  <c:v>0</c:v>
                </c:pt>
                <c:pt idx="1">
                  <c:v>5.5467399999999997E-3</c:v>
                </c:pt>
                <c:pt idx="2">
                  <c:v>1.79496E-2</c:v>
                </c:pt>
                <c:pt idx="3">
                  <c:v>4.5683299999999996E-2</c:v>
                </c:pt>
                <c:pt idx="4">
                  <c:v>0.106722</c:v>
                </c:pt>
                <c:pt idx="5">
                  <c:v>0.17091299999999998</c:v>
                </c:pt>
                <c:pt idx="6">
                  <c:v>0.23657999999999998</c:v>
                </c:pt>
              </c:numCache>
            </c:numRef>
          </c:xVal>
          <c:yVal>
            <c:numRef>
              <c:f>CylPlast2D!$G$32:$G$38</c:f>
              <c:numCache>
                <c:formatCode>0.00</c:formatCode>
                <c:ptCount val="7"/>
                <c:pt idx="0" formatCode="General">
                  <c:v>0</c:v>
                </c:pt>
                <c:pt idx="1">
                  <c:v>9.5999999999999992E-3</c:v>
                </c:pt>
                <c:pt idx="2">
                  <c:v>3.1066300000000002E-2</c:v>
                </c:pt>
                <c:pt idx="3">
                  <c:v>7.9066300000000006E-2</c:v>
                </c:pt>
                <c:pt idx="4">
                  <c:v>0.15659200000000001</c:v>
                </c:pt>
                <c:pt idx="5">
                  <c:v>0.18455299999999999</c:v>
                </c:pt>
                <c:pt idx="6">
                  <c:v>0.191382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E3-48A0-A648-F1EAFF4B8B0F}"/>
            </c:ext>
          </c:extLst>
        </c:ser>
        <c:ser>
          <c:idx val="3"/>
          <c:order val="1"/>
          <c:tx>
            <c:v>clal 3x3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CylPlast2D!$E$32:$E$54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5.7777000000000002E-3</c:v>
                </c:pt>
                <c:pt idx="2">
                  <c:v>1.8696999999999998E-2</c:v>
                </c:pt>
                <c:pt idx="3">
                  <c:v>4.7585599999999999E-2</c:v>
                </c:pt>
                <c:pt idx="4">
                  <c:v>0.111</c:v>
                </c:pt>
                <c:pt idx="5">
                  <c:v>0.177284</c:v>
                </c:pt>
                <c:pt idx="6">
                  <c:v>0.239034</c:v>
                </c:pt>
                <c:pt idx="7">
                  <c:v>0.29883100000000001</c:v>
                </c:pt>
                <c:pt idx="8">
                  <c:v>0.354101</c:v>
                </c:pt>
                <c:pt idx="9">
                  <c:v>0.408252</c:v>
                </c:pt>
                <c:pt idx="10">
                  <c:v>0.46226899999999999</c:v>
                </c:pt>
                <c:pt idx="11">
                  <c:v>0.51639199999999996</c:v>
                </c:pt>
                <c:pt idx="12">
                  <c:v>0.57065699999999997</c:v>
                </c:pt>
                <c:pt idx="13">
                  <c:v>0.62504899999999997</c:v>
                </c:pt>
                <c:pt idx="14">
                  <c:v>0.67954700000000001</c:v>
                </c:pt>
                <c:pt idx="15">
                  <c:v>0.73413700000000004</c:v>
                </c:pt>
                <c:pt idx="16">
                  <c:v>0.78880399999999995</c:v>
                </c:pt>
                <c:pt idx="17">
                  <c:v>0.84353800000000001</c:v>
                </c:pt>
                <c:pt idx="18">
                  <c:v>0.89832999999999996</c:v>
                </c:pt>
                <c:pt idx="19">
                  <c:v>0.95317300000000005</c:v>
                </c:pt>
                <c:pt idx="20">
                  <c:v>1.00806</c:v>
                </c:pt>
                <c:pt idx="21">
                  <c:v>1.0629900000000001</c:v>
                </c:pt>
                <c:pt idx="22">
                  <c:v>1.11795</c:v>
                </c:pt>
              </c:numCache>
            </c:numRef>
          </c:xVal>
          <c:yVal>
            <c:numRef>
              <c:f>CylPlast2D!$D$32:$D$54</c:f>
              <c:numCache>
                <c:formatCode>0.00</c:formatCode>
                <c:ptCount val="23"/>
                <c:pt idx="0">
                  <c:v>0</c:v>
                </c:pt>
                <c:pt idx="1">
                  <c:v>0.01</c:v>
                </c:pt>
                <c:pt idx="2">
                  <c:v>3.2360699999999999E-2</c:v>
                </c:pt>
                <c:pt idx="3">
                  <c:v>8.2360699999999995E-2</c:v>
                </c:pt>
                <c:pt idx="4">
                  <c:v>0.15959000000000001</c:v>
                </c:pt>
                <c:pt idx="5">
                  <c:v>0.18601799999999999</c:v>
                </c:pt>
                <c:pt idx="6">
                  <c:v>0.191443</c:v>
                </c:pt>
                <c:pt idx="7">
                  <c:v>0.191803</c:v>
                </c:pt>
                <c:pt idx="8">
                  <c:v>0.191967</c:v>
                </c:pt>
                <c:pt idx="9">
                  <c:v>0.19203300000000001</c:v>
                </c:pt>
                <c:pt idx="10">
                  <c:v>0.192056</c:v>
                </c:pt>
                <c:pt idx="11">
                  <c:v>0.19206200000000001</c:v>
                </c:pt>
                <c:pt idx="12">
                  <c:v>0.19206200000000001</c:v>
                </c:pt>
                <c:pt idx="13">
                  <c:v>0.19205900000000001</c:v>
                </c:pt>
                <c:pt idx="14">
                  <c:v>0.192056</c:v>
                </c:pt>
                <c:pt idx="15">
                  <c:v>0.192054</c:v>
                </c:pt>
                <c:pt idx="16">
                  <c:v>0.192051</c:v>
                </c:pt>
                <c:pt idx="17">
                  <c:v>0.192049</c:v>
                </c:pt>
                <c:pt idx="18">
                  <c:v>0.192047</c:v>
                </c:pt>
                <c:pt idx="19">
                  <c:v>0.19204599999999999</c:v>
                </c:pt>
                <c:pt idx="20">
                  <c:v>0.19204499999999999</c:v>
                </c:pt>
                <c:pt idx="21">
                  <c:v>0.19204399999999999</c:v>
                </c:pt>
                <c:pt idx="22">
                  <c:v>0.19204399999999999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E3-48A0-A648-F1EAFF4B8B0F}"/>
            </c:ext>
          </c:extLst>
        </c:ser>
        <c:ser>
          <c:idx val="4"/>
          <c:order val="2"/>
          <c:tx>
            <c:v>Hill (Ref.)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CylPlast2D!$O$42:$O$58</c:f>
              <c:numCache>
                <c:formatCode>General</c:formatCode>
                <c:ptCount val="17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0.06</c:v>
                </c:pt>
                <c:pt idx="6">
                  <c:v>7.2700000000000001E-2</c:v>
                </c:pt>
                <c:pt idx="7">
                  <c:v>8.6499999999999994E-2</c:v>
                </c:pt>
                <c:pt idx="8">
                  <c:v>0.10150000000000001</c:v>
                </c:pt>
                <c:pt idx="9">
                  <c:v>0.1177</c:v>
                </c:pt>
                <c:pt idx="10">
                  <c:v>0.1351</c:v>
                </c:pt>
                <c:pt idx="11">
                  <c:v>0.1537</c:v>
                </c:pt>
                <c:pt idx="12">
                  <c:v>0.17349999999999999</c:v>
                </c:pt>
                <c:pt idx="13">
                  <c:v>0.19450000000000001</c:v>
                </c:pt>
                <c:pt idx="14">
                  <c:v>0.21679999999999999</c:v>
                </c:pt>
                <c:pt idx="15">
                  <c:v>0.2402</c:v>
                </c:pt>
                <c:pt idx="16">
                  <c:v>1</c:v>
                </c:pt>
              </c:numCache>
            </c:numRef>
          </c:xVal>
          <c:yVal>
            <c:numRef>
              <c:f>CylPlast2D!$N$42:$N$58</c:f>
              <c:numCache>
                <c:formatCode>General</c:formatCode>
                <c:ptCount val="17"/>
                <c:pt idx="0">
                  <c:v>0</c:v>
                </c:pt>
                <c:pt idx="1">
                  <c:v>2.5999999999999999E-2</c:v>
                </c:pt>
                <c:pt idx="2">
                  <c:v>5.1999999999999998E-2</c:v>
                </c:pt>
                <c:pt idx="3">
                  <c:v>7.7899999999999997E-2</c:v>
                </c:pt>
                <c:pt idx="4">
                  <c:v>0.10390000000000001</c:v>
                </c:pt>
                <c:pt idx="5">
                  <c:v>0.10390000000000001</c:v>
                </c:pt>
                <c:pt idx="6">
                  <c:v>0.1231</c:v>
                </c:pt>
                <c:pt idx="7">
                  <c:v>0.13919999999999999</c:v>
                </c:pt>
                <c:pt idx="8">
                  <c:v>0.1527</c:v>
                </c:pt>
                <c:pt idx="9">
                  <c:v>0.16389999999999999</c:v>
                </c:pt>
                <c:pt idx="10">
                  <c:v>0.17299999999999999</c:v>
                </c:pt>
                <c:pt idx="11">
                  <c:v>0.18010000000000001</c:v>
                </c:pt>
                <c:pt idx="12">
                  <c:v>0.1855</c:v>
                </c:pt>
                <c:pt idx="13">
                  <c:v>0.18920000000000001</c:v>
                </c:pt>
                <c:pt idx="14">
                  <c:v>0.19139999999999999</c:v>
                </c:pt>
                <c:pt idx="15">
                  <c:v>0.19209999999999999</c:v>
                </c:pt>
                <c:pt idx="16">
                  <c:v>0.19209999999999999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E3-48A0-A648-F1EAFF4B8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91488"/>
        <c:axId val="957288160"/>
      </c:scatterChart>
      <c:valAx>
        <c:axId val="957291488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88160"/>
        <c:crosses val="autoZero"/>
        <c:crossBetween val="midCat"/>
      </c:valAx>
      <c:valAx>
        <c:axId val="95728816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9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lcm 2x2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SphAxys!$B$6:$B$28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2.1600500000000002E-3</c:v>
                </c:pt>
                <c:pt idx="2">
                  <c:v>4.3201000000000003E-3</c:v>
                </c:pt>
                <c:pt idx="3">
                  <c:v>6.4801399999999997E-3</c:v>
                </c:pt>
                <c:pt idx="4">
                  <c:v>8.6401900000000007E-3</c:v>
                </c:pt>
                <c:pt idx="5">
                  <c:v>1.0800199999999999E-2</c:v>
                </c:pt>
                <c:pt idx="6">
                  <c:v>1.2960299999999999E-2</c:v>
                </c:pt>
                <c:pt idx="7">
                  <c:v>1.51203E-2</c:v>
                </c:pt>
                <c:pt idx="8">
                  <c:v>1.7280400000000001E-2</c:v>
                </c:pt>
                <c:pt idx="9">
                  <c:v>1.94404E-2</c:v>
                </c:pt>
                <c:pt idx="10">
                  <c:v>2.1600500000000002E-2</c:v>
                </c:pt>
                <c:pt idx="11">
                  <c:v>2.4272700000000001E-2</c:v>
                </c:pt>
                <c:pt idx="12">
                  <c:v>2.7101799999999999E-2</c:v>
                </c:pt>
                <c:pt idx="13">
                  <c:v>3.0446999999999998E-2</c:v>
                </c:pt>
                <c:pt idx="14">
                  <c:v>3.4516400000000003E-2</c:v>
                </c:pt>
                <c:pt idx="15">
                  <c:v>3.9025999999999998E-2</c:v>
                </c:pt>
                <c:pt idx="16">
                  <c:v>4.4491000000000003E-2</c:v>
                </c:pt>
                <c:pt idx="17">
                  <c:v>5.08184E-2</c:v>
                </c:pt>
                <c:pt idx="18">
                  <c:v>5.8793199999999997E-2</c:v>
                </c:pt>
                <c:pt idx="19">
                  <c:v>6.85278E-2</c:v>
                </c:pt>
                <c:pt idx="20">
                  <c:v>8.1509499999999999E-2</c:v>
                </c:pt>
                <c:pt idx="21">
                  <c:v>0.101089</c:v>
                </c:pt>
                <c:pt idx="22">
                  <c:v>0.237734</c:v>
                </c:pt>
              </c:numCache>
            </c:numRef>
          </c:xVal>
          <c:yVal>
            <c:numRef>
              <c:f>SphAxys!$D$6:$D$28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1.512E-2</c:v>
                </c:pt>
                <c:pt idx="2">
                  <c:v>3.024E-2</c:v>
                </c:pt>
                <c:pt idx="3">
                  <c:v>4.5359999999999998E-2</c:v>
                </c:pt>
                <c:pt idx="4">
                  <c:v>6.0479999999999999E-2</c:v>
                </c:pt>
                <c:pt idx="5">
                  <c:v>7.5600000000000001E-2</c:v>
                </c:pt>
                <c:pt idx="6">
                  <c:v>9.0719999999999995E-2</c:v>
                </c:pt>
                <c:pt idx="7">
                  <c:v>0.10584</c:v>
                </c:pt>
                <c:pt idx="8">
                  <c:v>0.12096</c:v>
                </c:pt>
                <c:pt idx="9">
                  <c:v>0.13608000000000001</c:v>
                </c:pt>
                <c:pt idx="10">
                  <c:v>0.1512</c:v>
                </c:pt>
                <c:pt idx="11">
                  <c:v>0.16632</c:v>
                </c:pt>
                <c:pt idx="12">
                  <c:v>0.18143999999999999</c:v>
                </c:pt>
                <c:pt idx="13">
                  <c:v>0.19656000000000001</c:v>
                </c:pt>
                <c:pt idx="14">
                  <c:v>0.21168000000000001</c:v>
                </c:pt>
                <c:pt idx="15">
                  <c:v>0.22679999999999997</c:v>
                </c:pt>
                <c:pt idx="16">
                  <c:v>0.24192</c:v>
                </c:pt>
                <c:pt idx="17">
                  <c:v>0.25703999999999999</c:v>
                </c:pt>
                <c:pt idx="18">
                  <c:v>0.27216000000000001</c:v>
                </c:pt>
                <c:pt idx="19">
                  <c:v>0.28727999999999998</c:v>
                </c:pt>
                <c:pt idx="20">
                  <c:v>0.3024</c:v>
                </c:pt>
                <c:pt idx="21">
                  <c:v>0.31752000000000002</c:v>
                </c:pt>
                <c:pt idx="22">
                  <c:v>0.33263999999999999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31-452D-96C5-DD30DEA7C639}"/>
            </c:ext>
          </c:extLst>
        </c:ser>
        <c:ser>
          <c:idx val="2"/>
          <c:order val="1"/>
          <c:tx>
            <c:v>clal 2x2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SphAxys!$G$6:$G$36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2.1600500000000002E-3</c:v>
                </c:pt>
                <c:pt idx="2">
                  <c:v>6.9900600000000002E-3</c:v>
                </c:pt>
                <c:pt idx="3">
                  <c:v>1.7790299999999998E-2</c:v>
                </c:pt>
                <c:pt idx="4">
                  <c:v>4.07777E-2</c:v>
                </c:pt>
                <c:pt idx="5">
                  <c:v>6.8113199999999999E-2</c:v>
                </c:pt>
                <c:pt idx="6">
                  <c:v>9.7113099999999994E-2</c:v>
                </c:pt>
                <c:pt idx="7">
                  <c:v>0.127388</c:v>
                </c:pt>
                <c:pt idx="8">
                  <c:v>0.15912799999999999</c:v>
                </c:pt>
                <c:pt idx="9">
                  <c:v>0.19397300000000001</c:v>
                </c:pt>
                <c:pt idx="10">
                  <c:v>0.23375399999999999</c:v>
                </c:pt>
                <c:pt idx="11">
                  <c:v>0.27241900000000002</c:v>
                </c:pt>
                <c:pt idx="12">
                  <c:v>0.31130999999999998</c:v>
                </c:pt>
                <c:pt idx="13">
                  <c:v>0.35021099999999999</c:v>
                </c:pt>
                <c:pt idx="14">
                  <c:v>0.38919500000000001</c:v>
                </c:pt>
                <c:pt idx="15">
                  <c:v>0.42825000000000002</c:v>
                </c:pt>
                <c:pt idx="16">
                  <c:v>0.467364</c:v>
                </c:pt>
                <c:pt idx="17">
                  <c:v>0.50653000000000004</c:v>
                </c:pt>
                <c:pt idx="18">
                  <c:v>0.54563099999999998</c:v>
                </c:pt>
                <c:pt idx="19">
                  <c:v>0.58466499999999999</c:v>
                </c:pt>
                <c:pt idx="20">
                  <c:v>0.62369399999999997</c:v>
                </c:pt>
                <c:pt idx="21">
                  <c:v>0.66270700000000005</c:v>
                </c:pt>
                <c:pt idx="22">
                  <c:v>0.70170699999999997</c:v>
                </c:pt>
                <c:pt idx="23">
                  <c:v>0.74069700000000005</c:v>
                </c:pt>
                <c:pt idx="24">
                  <c:v>0.77967799999999998</c:v>
                </c:pt>
                <c:pt idx="25">
                  <c:v>0.81865200000000005</c:v>
                </c:pt>
                <c:pt idx="26">
                  <c:v>0.85761799999999999</c:v>
                </c:pt>
                <c:pt idx="27">
                  <c:v>0.89657900000000001</c:v>
                </c:pt>
                <c:pt idx="28">
                  <c:v>0.93553600000000003</c:v>
                </c:pt>
                <c:pt idx="29">
                  <c:v>0.97448699999999999</c:v>
                </c:pt>
                <c:pt idx="30">
                  <c:v>1.0134399999999999</c:v>
                </c:pt>
              </c:numCache>
            </c:numRef>
          </c:xVal>
          <c:yVal>
            <c:numRef>
              <c:f>SphAxys!$I$6:$I$36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1.512E-2</c:v>
                </c:pt>
                <c:pt idx="2">
                  <c:v>4.8929300000000002E-2</c:v>
                </c:pt>
                <c:pt idx="3">
                  <c:v>0.124529</c:v>
                </c:pt>
                <c:pt idx="4">
                  <c:v>0.233352</c:v>
                </c:pt>
                <c:pt idx="5">
                  <c:v>0.28740399999999999</c:v>
                </c:pt>
                <c:pt idx="6">
                  <c:v>0.31482100000000002</c:v>
                </c:pt>
                <c:pt idx="7">
                  <c:v>0.328073</c:v>
                </c:pt>
                <c:pt idx="8">
                  <c:v>0.33123799999999998</c:v>
                </c:pt>
                <c:pt idx="9">
                  <c:v>0.33178999999999997</c:v>
                </c:pt>
                <c:pt idx="10">
                  <c:v>0.332009</c:v>
                </c:pt>
                <c:pt idx="11">
                  <c:v>0.332011</c:v>
                </c:pt>
                <c:pt idx="12">
                  <c:v>0.33200499999999999</c:v>
                </c:pt>
                <c:pt idx="13">
                  <c:v>0.33199899999999999</c:v>
                </c:pt>
                <c:pt idx="14">
                  <c:v>0.33199899999999999</c:v>
                </c:pt>
                <c:pt idx="15">
                  <c:v>0.33200499999999999</c:v>
                </c:pt>
                <c:pt idx="16">
                  <c:v>0.33201199999999997</c:v>
                </c:pt>
                <c:pt idx="17">
                  <c:v>0.33201900000000001</c:v>
                </c:pt>
                <c:pt idx="18">
                  <c:v>0.33201700000000001</c:v>
                </c:pt>
                <c:pt idx="19">
                  <c:v>0.332009</c:v>
                </c:pt>
                <c:pt idx="20">
                  <c:v>0.33200400000000002</c:v>
                </c:pt>
                <c:pt idx="21">
                  <c:v>0.33199899999999999</c:v>
                </c:pt>
                <c:pt idx="22">
                  <c:v>0.33199600000000001</c:v>
                </c:pt>
                <c:pt idx="23">
                  <c:v>0.33199299999999998</c:v>
                </c:pt>
                <c:pt idx="24">
                  <c:v>0.33199000000000001</c:v>
                </c:pt>
                <c:pt idx="25">
                  <c:v>0.33198800000000001</c:v>
                </c:pt>
                <c:pt idx="26">
                  <c:v>0.331986</c:v>
                </c:pt>
                <c:pt idx="27">
                  <c:v>0.33198499999999997</c:v>
                </c:pt>
                <c:pt idx="28">
                  <c:v>0.33198299999999997</c:v>
                </c:pt>
                <c:pt idx="29">
                  <c:v>0.331982</c:v>
                </c:pt>
                <c:pt idx="30">
                  <c:v>0.33198100000000003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31-452D-96C5-DD30DEA7C639}"/>
            </c:ext>
          </c:extLst>
        </c:ser>
        <c:ser>
          <c:idx val="1"/>
          <c:order val="2"/>
          <c:tx>
            <c:v>lcm 3x3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SphAxys!$C$6:$C$30</c:f>
              <c:numCache>
                <c:formatCode>0.00E+00</c:formatCode>
                <c:ptCount val="25"/>
                <c:pt idx="0" formatCode="General">
                  <c:v>0</c:v>
                </c:pt>
                <c:pt idx="1">
                  <c:v>2.1599499999999999E-3</c:v>
                </c:pt>
                <c:pt idx="2">
                  <c:v>4.3198899999999998E-3</c:v>
                </c:pt>
                <c:pt idx="3">
                  <c:v>6.4798399999999997E-3</c:v>
                </c:pt>
                <c:pt idx="4">
                  <c:v>8.6397799999999997E-3</c:v>
                </c:pt>
                <c:pt idx="5">
                  <c:v>1.0799700000000001E-2</c:v>
                </c:pt>
                <c:pt idx="6">
                  <c:v>1.2959699999999999E-2</c:v>
                </c:pt>
                <c:pt idx="7">
                  <c:v>1.51196E-2</c:v>
                </c:pt>
                <c:pt idx="8">
                  <c:v>1.7279599999999999E-2</c:v>
                </c:pt>
                <c:pt idx="9">
                  <c:v>1.9439499999999998E-2</c:v>
                </c:pt>
                <c:pt idx="10">
                  <c:v>2.16721E-2</c:v>
                </c:pt>
                <c:pt idx="11">
                  <c:v>2.4204900000000001E-2</c:v>
                </c:pt>
                <c:pt idx="12">
                  <c:v>2.71507E-2</c:v>
                </c:pt>
                <c:pt idx="13">
                  <c:v>3.0517699999999998E-2</c:v>
                </c:pt>
                <c:pt idx="14">
                  <c:v>3.44695E-2</c:v>
                </c:pt>
                <c:pt idx="15">
                  <c:v>3.9030799999999997E-2</c:v>
                </c:pt>
                <c:pt idx="16">
                  <c:v>4.4371399999999998E-2</c:v>
                </c:pt>
                <c:pt idx="17">
                  <c:v>5.0861799999999999E-2</c:v>
                </c:pt>
                <c:pt idx="18">
                  <c:v>5.8630799999999997E-2</c:v>
                </c:pt>
                <c:pt idx="19">
                  <c:v>6.8583400000000003E-2</c:v>
                </c:pt>
                <c:pt idx="20">
                  <c:v>8.17547E-2</c:v>
                </c:pt>
                <c:pt idx="21">
                  <c:v>0.101343</c:v>
                </c:pt>
                <c:pt idx="22">
                  <c:v>0.22434799999999999</c:v>
                </c:pt>
                <c:pt idx="23">
                  <c:v>79.274799999999999</c:v>
                </c:pt>
                <c:pt idx="24">
                  <c:v>156.422</c:v>
                </c:pt>
              </c:numCache>
            </c:numRef>
          </c:xVal>
          <c:yVal>
            <c:numRef>
              <c:f>SphAxys!$D$6:$D$30</c:f>
              <c:numCache>
                <c:formatCode>0.00</c:formatCode>
                <c:ptCount val="25"/>
                <c:pt idx="0" formatCode="General">
                  <c:v>0</c:v>
                </c:pt>
                <c:pt idx="1">
                  <c:v>1.512E-2</c:v>
                </c:pt>
                <c:pt idx="2">
                  <c:v>3.024E-2</c:v>
                </c:pt>
                <c:pt idx="3">
                  <c:v>4.5359999999999998E-2</c:v>
                </c:pt>
                <c:pt idx="4">
                  <c:v>6.0479999999999999E-2</c:v>
                </c:pt>
                <c:pt idx="5">
                  <c:v>7.5600000000000001E-2</c:v>
                </c:pt>
                <c:pt idx="6">
                  <c:v>9.0719999999999995E-2</c:v>
                </c:pt>
                <c:pt idx="7">
                  <c:v>0.10584</c:v>
                </c:pt>
                <c:pt idx="8">
                  <c:v>0.12096</c:v>
                </c:pt>
                <c:pt idx="9">
                  <c:v>0.13608000000000001</c:v>
                </c:pt>
                <c:pt idx="10">
                  <c:v>0.1512</c:v>
                </c:pt>
                <c:pt idx="11">
                  <c:v>0.16632</c:v>
                </c:pt>
                <c:pt idx="12">
                  <c:v>0.18143999999999999</c:v>
                </c:pt>
                <c:pt idx="13">
                  <c:v>0.19656000000000001</c:v>
                </c:pt>
                <c:pt idx="14">
                  <c:v>0.21168000000000001</c:v>
                </c:pt>
                <c:pt idx="15">
                  <c:v>0.22679999999999997</c:v>
                </c:pt>
                <c:pt idx="16">
                  <c:v>0.24192</c:v>
                </c:pt>
                <c:pt idx="17">
                  <c:v>0.25703999999999999</c:v>
                </c:pt>
                <c:pt idx="18">
                  <c:v>0.27216000000000001</c:v>
                </c:pt>
                <c:pt idx="19">
                  <c:v>0.28727999999999998</c:v>
                </c:pt>
                <c:pt idx="20">
                  <c:v>0.3024</c:v>
                </c:pt>
                <c:pt idx="21">
                  <c:v>0.31752000000000002</c:v>
                </c:pt>
                <c:pt idx="22">
                  <c:v>0.33263999999999999</c:v>
                </c:pt>
                <c:pt idx="23">
                  <c:v>0.34776000000000001</c:v>
                </c:pt>
                <c:pt idx="24">
                  <c:v>0.36287999999999998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31-452D-96C5-DD30DEA7C639}"/>
            </c:ext>
          </c:extLst>
        </c:ser>
        <c:ser>
          <c:idx val="3"/>
          <c:order val="3"/>
          <c:tx>
            <c:v>clal 3x3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SphAxys!$J$6:$J$36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2.1599499999999999E-3</c:v>
                </c:pt>
                <c:pt idx="2">
                  <c:v>6.9897300000000004E-3</c:v>
                </c:pt>
                <c:pt idx="3">
                  <c:v>1.77895E-2</c:v>
                </c:pt>
                <c:pt idx="4">
                  <c:v>4.0770800000000003E-2</c:v>
                </c:pt>
                <c:pt idx="5">
                  <c:v>6.8123400000000001E-2</c:v>
                </c:pt>
                <c:pt idx="6">
                  <c:v>9.7216999999999998E-2</c:v>
                </c:pt>
                <c:pt idx="7">
                  <c:v>0.127724</c:v>
                </c:pt>
                <c:pt idx="8">
                  <c:v>0.15958800000000001</c:v>
                </c:pt>
                <c:pt idx="9">
                  <c:v>0.19091900000000001</c:v>
                </c:pt>
                <c:pt idx="10">
                  <c:v>0.22209200000000001</c:v>
                </c:pt>
                <c:pt idx="11">
                  <c:v>0.25769199999999998</c:v>
                </c:pt>
                <c:pt idx="12">
                  <c:v>0.292846</c:v>
                </c:pt>
                <c:pt idx="13">
                  <c:v>0.328073</c:v>
                </c:pt>
                <c:pt idx="14">
                  <c:v>0.36327500000000001</c:v>
                </c:pt>
                <c:pt idx="15">
                  <c:v>0.398532</c:v>
                </c:pt>
                <c:pt idx="16">
                  <c:v>0.43382799999999999</c:v>
                </c:pt>
                <c:pt idx="17">
                  <c:v>0.46904499999999999</c:v>
                </c:pt>
                <c:pt idx="18">
                  <c:v>0.50428799999999996</c:v>
                </c:pt>
                <c:pt idx="19">
                  <c:v>0.53954100000000005</c:v>
                </c:pt>
                <c:pt idx="20">
                  <c:v>0.57480399999999998</c:v>
                </c:pt>
                <c:pt idx="21">
                  <c:v>0.61007900000000004</c:v>
                </c:pt>
                <c:pt idx="22">
                  <c:v>0.64536700000000002</c:v>
                </c:pt>
                <c:pt idx="23">
                  <c:v>0.68066700000000002</c:v>
                </c:pt>
                <c:pt idx="24">
                  <c:v>0.71597900000000003</c:v>
                </c:pt>
                <c:pt idx="25">
                  <c:v>0.75130399999999997</c:v>
                </c:pt>
                <c:pt idx="26">
                  <c:v>0.78664000000000001</c:v>
                </c:pt>
                <c:pt idx="27">
                  <c:v>0.82198800000000005</c:v>
                </c:pt>
                <c:pt idx="28">
                  <c:v>0.85734999999999995</c:v>
                </c:pt>
                <c:pt idx="29">
                  <c:v>0.89272700000000005</c:v>
                </c:pt>
                <c:pt idx="30">
                  <c:v>0.92811500000000002</c:v>
                </c:pt>
              </c:numCache>
            </c:numRef>
          </c:xVal>
          <c:yVal>
            <c:numRef>
              <c:f>SphAxys!$L$6:$L$36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1.512E-2</c:v>
                </c:pt>
                <c:pt idx="2">
                  <c:v>4.8929300000000002E-2</c:v>
                </c:pt>
                <c:pt idx="3">
                  <c:v>0.124529</c:v>
                </c:pt>
                <c:pt idx="4">
                  <c:v>0.233264</c:v>
                </c:pt>
                <c:pt idx="5">
                  <c:v>0.28742000000000001</c:v>
                </c:pt>
                <c:pt idx="6">
                  <c:v>0.31497700000000001</c:v>
                </c:pt>
                <c:pt idx="7">
                  <c:v>0.32803900000000003</c:v>
                </c:pt>
                <c:pt idx="8">
                  <c:v>0.33127400000000001</c:v>
                </c:pt>
                <c:pt idx="9">
                  <c:v>0.33174199999999998</c:v>
                </c:pt>
                <c:pt idx="10">
                  <c:v>0.33184399999999997</c:v>
                </c:pt>
                <c:pt idx="11">
                  <c:v>0.33198699999999998</c:v>
                </c:pt>
                <c:pt idx="12">
                  <c:v>0.33201599999999998</c:v>
                </c:pt>
                <c:pt idx="13">
                  <c:v>0.33202399999999999</c:v>
                </c:pt>
                <c:pt idx="14">
                  <c:v>0.33202199999999998</c:v>
                </c:pt>
                <c:pt idx="15">
                  <c:v>0.33202399999999999</c:v>
                </c:pt>
                <c:pt idx="16">
                  <c:v>0.33202900000000002</c:v>
                </c:pt>
                <c:pt idx="17">
                  <c:v>0.33202500000000001</c:v>
                </c:pt>
                <c:pt idx="18">
                  <c:v>0.33202599999999999</c:v>
                </c:pt>
                <c:pt idx="19">
                  <c:v>0.33202900000000002</c:v>
                </c:pt>
                <c:pt idx="20">
                  <c:v>0.33203300000000002</c:v>
                </c:pt>
                <c:pt idx="21">
                  <c:v>0.33203700000000003</c:v>
                </c:pt>
                <c:pt idx="22">
                  <c:v>0.33204299999999998</c:v>
                </c:pt>
                <c:pt idx="23">
                  <c:v>0.33204800000000001</c:v>
                </c:pt>
                <c:pt idx="24">
                  <c:v>0.33205499999999999</c:v>
                </c:pt>
                <c:pt idx="25">
                  <c:v>0.332061</c:v>
                </c:pt>
                <c:pt idx="26">
                  <c:v>0.332067</c:v>
                </c:pt>
                <c:pt idx="27">
                  <c:v>0.33207399999999998</c:v>
                </c:pt>
                <c:pt idx="28">
                  <c:v>0.33208100000000002</c:v>
                </c:pt>
                <c:pt idx="29">
                  <c:v>0.33208799999999999</c:v>
                </c:pt>
                <c:pt idx="30">
                  <c:v>0.33209499999999997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31-452D-96C5-DD30DEA7C639}"/>
            </c:ext>
          </c:extLst>
        </c:ser>
        <c:ser>
          <c:idx val="4"/>
          <c:order val="4"/>
          <c:tx>
            <c:v>WebPlot SN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SphAxys!$O$21:$O$31</c:f>
              <c:numCache>
                <c:formatCode>General</c:formatCode>
                <c:ptCount val="11"/>
                <c:pt idx="0">
                  <c:v>0</c:v>
                </c:pt>
                <c:pt idx="1">
                  <c:v>1.4177E-2</c:v>
                </c:pt>
                <c:pt idx="2">
                  <c:v>2.1519E-2</c:v>
                </c:pt>
                <c:pt idx="3">
                  <c:v>3.0633000000000001E-2</c:v>
                </c:pt>
                <c:pt idx="4">
                  <c:v>4.2784999999999997E-2</c:v>
                </c:pt>
                <c:pt idx="5">
                  <c:v>0.06</c:v>
                </c:pt>
                <c:pt idx="6">
                  <c:v>7.7975000000000003E-2</c:v>
                </c:pt>
                <c:pt idx="7">
                  <c:v>0.10785</c:v>
                </c:pt>
                <c:pt idx="8">
                  <c:v>0.13442999999999999</c:v>
                </c:pt>
                <c:pt idx="9">
                  <c:v>0.14329</c:v>
                </c:pt>
                <c:pt idx="10">
                  <c:v>0.15923999999999999</c:v>
                </c:pt>
              </c:numCache>
            </c:numRef>
          </c:xVal>
          <c:yVal>
            <c:numRef>
              <c:f>SphAxys!$P$21:$P$31</c:f>
              <c:numCache>
                <c:formatCode>General</c:formatCode>
                <c:ptCount val="11"/>
                <c:pt idx="0">
                  <c:v>0</c:v>
                </c:pt>
                <c:pt idx="1">
                  <c:v>9.9652000000000004E-2</c:v>
                </c:pt>
                <c:pt idx="2">
                  <c:v>0.14982999999999999</c:v>
                </c:pt>
                <c:pt idx="3">
                  <c:v>0.19721</c:v>
                </c:pt>
                <c:pt idx="4">
                  <c:v>0.23902000000000001</c:v>
                </c:pt>
                <c:pt idx="5">
                  <c:v>0.27595999999999998</c:v>
                </c:pt>
                <c:pt idx="6">
                  <c:v>0.29970000000000002</c:v>
                </c:pt>
                <c:pt idx="7">
                  <c:v>0.32195000000000001</c:v>
                </c:pt>
                <c:pt idx="8">
                  <c:v>0.33030999999999999</c:v>
                </c:pt>
                <c:pt idx="9">
                  <c:v>0.33239999999999997</c:v>
                </c:pt>
                <c:pt idx="10">
                  <c:v>0.33310000000000001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31-452D-96C5-DD30DEA7C639}"/>
            </c:ext>
          </c:extLst>
        </c:ser>
        <c:ser>
          <c:idx val="5"/>
          <c:order val="5"/>
          <c:tx>
            <c:v>ABAQUS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SphAxys!$R$21:$R$43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2.8621099999999999E-5</c:v>
                </c:pt>
                <c:pt idx="2">
                  <c:v>5.7242099999999999E-5</c:v>
                </c:pt>
                <c:pt idx="3" formatCode="General">
                  <c:v>1.0017399999999999E-4</c:v>
                </c:pt>
                <c:pt idx="4" formatCode="General">
                  <c:v>1.6457099999999999E-4</c:v>
                </c:pt>
                <c:pt idx="5" formatCode="General">
                  <c:v>2.6116799999999999E-4</c:v>
                </c:pt>
                <c:pt idx="6" formatCode="General">
                  <c:v>4.0606300000000002E-4</c:v>
                </c:pt>
                <c:pt idx="7" formatCode="General">
                  <c:v>6.2340599999999996E-4</c:v>
                </c:pt>
                <c:pt idx="8" formatCode="General">
                  <c:v>9.4942300000000002E-4</c:v>
                </c:pt>
                <c:pt idx="9" formatCode="General">
                  <c:v>1.43845E-3</c:v>
                </c:pt>
                <c:pt idx="10" formatCode="General">
                  <c:v>2.1720099999999998E-3</c:v>
                </c:pt>
                <c:pt idx="11" formatCode="General">
                  <c:v>3.2723600000000002E-3</c:v>
                </c:pt>
                <c:pt idx="12" formatCode="General">
                  <c:v>4.9229299999999998E-3</c:v>
                </c:pt>
                <c:pt idx="13" formatCode="General">
                  <c:v>7.3990200000000001E-3</c:v>
                </c:pt>
                <c:pt idx="14" formatCode="General">
                  <c:v>1.1113400000000001E-2</c:v>
                </c:pt>
                <c:pt idx="15" formatCode="General">
                  <c:v>1.6685499999999999E-2</c:v>
                </c:pt>
                <c:pt idx="16" formatCode="General">
                  <c:v>2.4998900000000001E-2</c:v>
                </c:pt>
                <c:pt idx="17" formatCode="General">
                  <c:v>3.6941099999999998E-2</c:v>
                </c:pt>
                <c:pt idx="18" formatCode="General">
                  <c:v>5.3670099999999998E-2</c:v>
                </c:pt>
                <c:pt idx="19" formatCode="General">
                  <c:v>7.71535E-2</c:v>
                </c:pt>
                <c:pt idx="20" formatCode="General">
                  <c:v>0.110525</c:v>
                </c:pt>
                <c:pt idx="21" formatCode="General">
                  <c:v>0.15812100000000001</c:v>
                </c:pt>
                <c:pt idx="22" formatCode="General">
                  <c:v>0.22844600000000001</c:v>
                </c:pt>
              </c:numCache>
            </c:numRef>
          </c:xVal>
          <c:yVal>
            <c:numRef>
              <c:f>SphAxys!$T$21:$T$43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2.0000000000000001E-4</c:v>
                </c:pt>
                <c:pt idx="2">
                  <c:v>3.99999E-4</c:v>
                </c:pt>
                <c:pt idx="3">
                  <c:v>6.9999700000000005E-4</c:v>
                </c:pt>
                <c:pt idx="4">
                  <c:v>1.14999E-3</c:v>
                </c:pt>
                <c:pt idx="5">
                  <c:v>1.8249799999999999E-3</c:v>
                </c:pt>
                <c:pt idx="6">
                  <c:v>2.8374400000000001E-3</c:v>
                </c:pt>
                <c:pt idx="7">
                  <c:v>4.3560999999999999E-3</c:v>
                </c:pt>
                <c:pt idx="8">
                  <c:v>6.6340300000000008E-3</c:v>
                </c:pt>
                <c:pt idx="9">
                  <c:v>1.00508E-2</c:v>
                </c:pt>
                <c:pt idx="10">
                  <c:v>1.51755E-2</c:v>
                </c:pt>
                <c:pt idx="11">
                  <c:v>2.2861900000000001E-2</c:v>
                </c:pt>
                <c:pt idx="12">
                  <c:v>3.4389599999999999E-2</c:v>
                </c:pt>
                <c:pt idx="13">
                  <c:v>5.1677899999999999E-2</c:v>
                </c:pt>
                <c:pt idx="14">
                  <c:v>7.7601299999999998E-2</c:v>
                </c:pt>
                <c:pt idx="15">
                  <c:v>0.11646700000000001</c:v>
                </c:pt>
                <c:pt idx="16">
                  <c:v>0.17005799999999999</c:v>
                </c:pt>
                <c:pt idx="17">
                  <c:v>0.22067800000000004</c:v>
                </c:pt>
                <c:pt idx="18">
                  <c:v>0.26363300000000001</c:v>
                </c:pt>
                <c:pt idx="19">
                  <c:v>0.29754599999999998</c:v>
                </c:pt>
                <c:pt idx="20">
                  <c:v>0.321378</c:v>
                </c:pt>
                <c:pt idx="21">
                  <c:v>0.33031100000000002</c:v>
                </c:pt>
                <c:pt idx="22">
                  <c:v>0.32915499999999998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17-4019-9ED8-2A6C4BBE3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91488"/>
        <c:axId val="957288160"/>
      </c:scatterChart>
      <c:valAx>
        <c:axId val="957291488"/>
        <c:scaling>
          <c:orientation val="minMax"/>
          <c:max val="0.1600000000000000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88160"/>
        <c:crosses val="autoZero"/>
        <c:crossBetween val="midCat"/>
      </c:valAx>
      <c:valAx>
        <c:axId val="957288160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9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v>clal 2x2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SphAxys!$G$6:$G$36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2.1600500000000002E-3</c:v>
                </c:pt>
                <c:pt idx="2">
                  <c:v>6.9900600000000002E-3</c:v>
                </c:pt>
                <c:pt idx="3">
                  <c:v>1.7790299999999998E-2</c:v>
                </c:pt>
                <c:pt idx="4">
                  <c:v>4.07777E-2</c:v>
                </c:pt>
                <c:pt idx="5">
                  <c:v>6.8113199999999999E-2</c:v>
                </c:pt>
                <c:pt idx="6">
                  <c:v>9.7113099999999994E-2</c:v>
                </c:pt>
                <c:pt idx="7">
                  <c:v>0.127388</c:v>
                </c:pt>
                <c:pt idx="8">
                  <c:v>0.15912799999999999</c:v>
                </c:pt>
                <c:pt idx="9">
                  <c:v>0.19397300000000001</c:v>
                </c:pt>
                <c:pt idx="10">
                  <c:v>0.23375399999999999</c:v>
                </c:pt>
                <c:pt idx="11">
                  <c:v>0.27241900000000002</c:v>
                </c:pt>
                <c:pt idx="12">
                  <c:v>0.31130999999999998</c:v>
                </c:pt>
                <c:pt idx="13">
                  <c:v>0.35021099999999999</c:v>
                </c:pt>
                <c:pt idx="14">
                  <c:v>0.38919500000000001</c:v>
                </c:pt>
                <c:pt idx="15">
                  <c:v>0.42825000000000002</c:v>
                </c:pt>
                <c:pt idx="16">
                  <c:v>0.467364</c:v>
                </c:pt>
                <c:pt idx="17">
                  <c:v>0.50653000000000004</c:v>
                </c:pt>
                <c:pt idx="18">
                  <c:v>0.54563099999999998</c:v>
                </c:pt>
                <c:pt idx="19">
                  <c:v>0.58466499999999999</c:v>
                </c:pt>
                <c:pt idx="20">
                  <c:v>0.62369399999999997</c:v>
                </c:pt>
                <c:pt idx="21">
                  <c:v>0.66270700000000005</c:v>
                </c:pt>
                <c:pt idx="22">
                  <c:v>0.70170699999999997</c:v>
                </c:pt>
                <c:pt idx="23">
                  <c:v>0.74069700000000005</c:v>
                </c:pt>
                <c:pt idx="24">
                  <c:v>0.77967799999999998</c:v>
                </c:pt>
                <c:pt idx="25">
                  <c:v>0.81865200000000005</c:v>
                </c:pt>
                <c:pt idx="26">
                  <c:v>0.85761799999999999</c:v>
                </c:pt>
                <c:pt idx="27">
                  <c:v>0.89657900000000001</c:v>
                </c:pt>
                <c:pt idx="28">
                  <c:v>0.93553600000000003</c:v>
                </c:pt>
                <c:pt idx="29">
                  <c:v>0.97448699999999999</c:v>
                </c:pt>
                <c:pt idx="30">
                  <c:v>1.0134399999999999</c:v>
                </c:pt>
              </c:numCache>
            </c:numRef>
          </c:xVal>
          <c:yVal>
            <c:numRef>
              <c:f>SphAxys!$I$6:$I$36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1.512E-2</c:v>
                </c:pt>
                <c:pt idx="2">
                  <c:v>4.8929300000000002E-2</c:v>
                </c:pt>
                <c:pt idx="3">
                  <c:v>0.124529</c:v>
                </c:pt>
                <c:pt idx="4">
                  <c:v>0.233352</c:v>
                </c:pt>
                <c:pt idx="5">
                  <c:v>0.28740399999999999</c:v>
                </c:pt>
                <c:pt idx="6">
                  <c:v>0.31482100000000002</c:v>
                </c:pt>
                <c:pt idx="7">
                  <c:v>0.328073</c:v>
                </c:pt>
                <c:pt idx="8">
                  <c:v>0.33123799999999998</c:v>
                </c:pt>
                <c:pt idx="9">
                  <c:v>0.33178999999999997</c:v>
                </c:pt>
                <c:pt idx="10">
                  <c:v>0.332009</c:v>
                </c:pt>
                <c:pt idx="11">
                  <c:v>0.332011</c:v>
                </c:pt>
                <c:pt idx="12">
                  <c:v>0.33200499999999999</c:v>
                </c:pt>
                <c:pt idx="13">
                  <c:v>0.33199899999999999</c:v>
                </c:pt>
                <c:pt idx="14">
                  <c:v>0.33199899999999999</c:v>
                </c:pt>
                <c:pt idx="15">
                  <c:v>0.33200499999999999</c:v>
                </c:pt>
                <c:pt idx="16">
                  <c:v>0.33201199999999997</c:v>
                </c:pt>
                <c:pt idx="17">
                  <c:v>0.33201900000000001</c:v>
                </c:pt>
                <c:pt idx="18">
                  <c:v>0.33201700000000001</c:v>
                </c:pt>
                <c:pt idx="19">
                  <c:v>0.332009</c:v>
                </c:pt>
                <c:pt idx="20">
                  <c:v>0.33200400000000002</c:v>
                </c:pt>
                <c:pt idx="21">
                  <c:v>0.33199899999999999</c:v>
                </c:pt>
                <c:pt idx="22">
                  <c:v>0.33199600000000001</c:v>
                </c:pt>
                <c:pt idx="23">
                  <c:v>0.33199299999999998</c:v>
                </c:pt>
                <c:pt idx="24">
                  <c:v>0.33199000000000001</c:v>
                </c:pt>
                <c:pt idx="25">
                  <c:v>0.33198800000000001</c:v>
                </c:pt>
                <c:pt idx="26">
                  <c:v>0.331986</c:v>
                </c:pt>
                <c:pt idx="27">
                  <c:v>0.33198499999999997</c:v>
                </c:pt>
                <c:pt idx="28">
                  <c:v>0.33198299999999997</c:v>
                </c:pt>
                <c:pt idx="29">
                  <c:v>0.331982</c:v>
                </c:pt>
                <c:pt idx="30">
                  <c:v>0.33198100000000003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D9-47F2-BF90-F0256FD7CD34}"/>
            </c:ext>
          </c:extLst>
        </c:ser>
        <c:ser>
          <c:idx val="3"/>
          <c:order val="1"/>
          <c:tx>
            <c:v>clal 3x3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SphAxys!$J$6:$J$36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2.1599499999999999E-3</c:v>
                </c:pt>
                <c:pt idx="2">
                  <c:v>6.9897300000000004E-3</c:v>
                </c:pt>
                <c:pt idx="3">
                  <c:v>1.77895E-2</c:v>
                </c:pt>
                <c:pt idx="4">
                  <c:v>4.0770800000000003E-2</c:v>
                </c:pt>
                <c:pt idx="5">
                  <c:v>6.8123400000000001E-2</c:v>
                </c:pt>
                <c:pt idx="6">
                  <c:v>9.7216999999999998E-2</c:v>
                </c:pt>
                <c:pt idx="7">
                  <c:v>0.127724</c:v>
                </c:pt>
                <c:pt idx="8">
                  <c:v>0.15958800000000001</c:v>
                </c:pt>
                <c:pt idx="9">
                  <c:v>0.19091900000000001</c:v>
                </c:pt>
                <c:pt idx="10">
                  <c:v>0.22209200000000001</c:v>
                </c:pt>
                <c:pt idx="11">
                  <c:v>0.25769199999999998</c:v>
                </c:pt>
                <c:pt idx="12">
                  <c:v>0.292846</c:v>
                </c:pt>
                <c:pt idx="13">
                  <c:v>0.328073</c:v>
                </c:pt>
                <c:pt idx="14">
                  <c:v>0.36327500000000001</c:v>
                </c:pt>
                <c:pt idx="15">
                  <c:v>0.398532</c:v>
                </c:pt>
                <c:pt idx="16">
                  <c:v>0.43382799999999999</c:v>
                </c:pt>
                <c:pt idx="17">
                  <c:v>0.46904499999999999</c:v>
                </c:pt>
                <c:pt idx="18">
                  <c:v>0.50428799999999996</c:v>
                </c:pt>
                <c:pt idx="19">
                  <c:v>0.53954100000000005</c:v>
                </c:pt>
                <c:pt idx="20">
                  <c:v>0.57480399999999998</c:v>
                </c:pt>
                <c:pt idx="21">
                  <c:v>0.61007900000000004</c:v>
                </c:pt>
                <c:pt idx="22">
                  <c:v>0.64536700000000002</c:v>
                </c:pt>
                <c:pt idx="23">
                  <c:v>0.68066700000000002</c:v>
                </c:pt>
                <c:pt idx="24">
                  <c:v>0.71597900000000003</c:v>
                </c:pt>
                <c:pt idx="25">
                  <c:v>0.75130399999999997</c:v>
                </c:pt>
                <c:pt idx="26">
                  <c:v>0.78664000000000001</c:v>
                </c:pt>
                <c:pt idx="27">
                  <c:v>0.82198800000000005</c:v>
                </c:pt>
                <c:pt idx="28">
                  <c:v>0.85734999999999995</c:v>
                </c:pt>
                <c:pt idx="29">
                  <c:v>0.89272700000000005</c:v>
                </c:pt>
                <c:pt idx="30">
                  <c:v>0.92811500000000002</c:v>
                </c:pt>
              </c:numCache>
            </c:numRef>
          </c:xVal>
          <c:yVal>
            <c:numRef>
              <c:f>SphAxys!$L$6:$L$36</c:f>
              <c:numCache>
                <c:formatCode>0.00</c:formatCode>
                <c:ptCount val="31"/>
                <c:pt idx="0" formatCode="General">
                  <c:v>0</c:v>
                </c:pt>
                <c:pt idx="1">
                  <c:v>1.512E-2</c:v>
                </c:pt>
                <c:pt idx="2">
                  <c:v>4.8929300000000002E-2</c:v>
                </c:pt>
                <c:pt idx="3">
                  <c:v>0.124529</c:v>
                </c:pt>
                <c:pt idx="4">
                  <c:v>0.233264</c:v>
                </c:pt>
                <c:pt idx="5">
                  <c:v>0.28742000000000001</c:v>
                </c:pt>
                <c:pt idx="6">
                  <c:v>0.31497700000000001</c:v>
                </c:pt>
                <c:pt idx="7">
                  <c:v>0.32803900000000003</c:v>
                </c:pt>
                <c:pt idx="8">
                  <c:v>0.33127400000000001</c:v>
                </c:pt>
                <c:pt idx="9">
                  <c:v>0.33174199999999998</c:v>
                </c:pt>
                <c:pt idx="10">
                  <c:v>0.33184399999999997</c:v>
                </c:pt>
                <c:pt idx="11">
                  <c:v>0.33198699999999998</c:v>
                </c:pt>
                <c:pt idx="12">
                  <c:v>0.33201599999999998</c:v>
                </c:pt>
                <c:pt idx="13">
                  <c:v>0.33202399999999999</c:v>
                </c:pt>
                <c:pt idx="14">
                  <c:v>0.33202199999999998</c:v>
                </c:pt>
                <c:pt idx="15">
                  <c:v>0.33202399999999999</c:v>
                </c:pt>
                <c:pt idx="16">
                  <c:v>0.33202900000000002</c:v>
                </c:pt>
                <c:pt idx="17">
                  <c:v>0.33202500000000001</c:v>
                </c:pt>
                <c:pt idx="18">
                  <c:v>0.33202599999999999</c:v>
                </c:pt>
                <c:pt idx="19">
                  <c:v>0.33202900000000002</c:v>
                </c:pt>
                <c:pt idx="20">
                  <c:v>0.33203300000000002</c:v>
                </c:pt>
                <c:pt idx="21">
                  <c:v>0.33203700000000003</c:v>
                </c:pt>
                <c:pt idx="22">
                  <c:v>0.33204299999999998</c:v>
                </c:pt>
                <c:pt idx="23">
                  <c:v>0.33204800000000001</c:v>
                </c:pt>
                <c:pt idx="24">
                  <c:v>0.33205499999999999</c:v>
                </c:pt>
                <c:pt idx="25">
                  <c:v>0.332061</c:v>
                </c:pt>
                <c:pt idx="26">
                  <c:v>0.332067</c:v>
                </c:pt>
                <c:pt idx="27">
                  <c:v>0.33207399999999998</c:v>
                </c:pt>
                <c:pt idx="28">
                  <c:v>0.33208100000000002</c:v>
                </c:pt>
                <c:pt idx="29">
                  <c:v>0.33208799999999999</c:v>
                </c:pt>
                <c:pt idx="30">
                  <c:v>0.33209499999999997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D9-47F2-BF90-F0256FD7CD34}"/>
            </c:ext>
          </c:extLst>
        </c:ser>
        <c:ser>
          <c:idx val="4"/>
          <c:order val="2"/>
          <c:tx>
            <c:v>Hill (ref.)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SphAxys!$X$21:$X$37</c:f>
              <c:numCache>
                <c:formatCode>General</c:formatCode>
                <c:ptCount val="17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0.02</c:v>
                </c:pt>
                <c:pt idx="6">
                  <c:v>2.6599999999999999E-2</c:v>
                </c:pt>
                <c:pt idx="7">
                  <c:v>3.4599999999999999E-2</c:v>
                </c:pt>
                <c:pt idx="8">
                  <c:v>4.3900000000000002E-2</c:v>
                </c:pt>
                <c:pt idx="9">
                  <c:v>5.4899999999999997E-2</c:v>
                </c:pt>
                <c:pt idx="10">
                  <c:v>6.7500000000000004E-2</c:v>
                </c:pt>
                <c:pt idx="11">
                  <c:v>8.1900000000000001E-2</c:v>
                </c:pt>
                <c:pt idx="12">
                  <c:v>9.8299999999999998E-2</c:v>
                </c:pt>
                <c:pt idx="13">
                  <c:v>0.1166</c:v>
                </c:pt>
                <c:pt idx="14">
                  <c:v>0.13719999999999999</c:v>
                </c:pt>
                <c:pt idx="15">
                  <c:v>0.16</c:v>
                </c:pt>
                <c:pt idx="16">
                  <c:v>1</c:v>
                </c:pt>
              </c:numCache>
            </c:numRef>
          </c:xVal>
          <c:yVal>
            <c:numRef>
              <c:f>SphAxys!$W$21:$W$37</c:f>
              <c:numCache>
                <c:formatCode>General</c:formatCode>
                <c:ptCount val="17"/>
                <c:pt idx="0">
                  <c:v>0</c:v>
                </c:pt>
                <c:pt idx="1">
                  <c:v>3.5000000000000003E-2</c:v>
                </c:pt>
                <c:pt idx="2">
                  <c:v>7.0000000000000007E-2</c:v>
                </c:pt>
                <c:pt idx="3">
                  <c:v>0.105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0.17910000000000001</c:v>
                </c:pt>
                <c:pt idx="7">
                  <c:v>0.21299999999999999</c:v>
                </c:pt>
                <c:pt idx="8">
                  <c:v>0.24199999999999999</c:v>
                </c:pt>
                <c:pt idx="9">
                  <c:v>0.2666</c:v>
                </c:pt>
                <c:pt idx="10">
                  <c:v>0.28710000000000002</c:v>
                </c:pt>
                <c:pt idx="11">
                  <c:v>0.30370000000000003</c:v>
                </c:pt>
                <c:pt idx="12">
                  <c:v>0.31640000000000001</c:v>
                </c:pt>
                <c:pt idx="13">
                  <c:v>0.32550000000000001</c:v>
                </c:pt>
                <c:pt idx="14">
                  <c:v>0.33090000000000003</c:v>
                </c:pt>
                <c:pt idx="15">
                  <c:v>0.3327</c:v>
                </c:pt>
                <c:pt idx="16">
                  <c:v>0.3327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D9-47F2-BF90-F0256FD7C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291488"/>
        <c:axId val="957288160"/>
      </c:scatterChart>
      <c:valAx>
        <c:axId val="957291488"/>
        <c:scaling>
          <c:orientation val="minMax"/>
          <c:max val="0.1600000000000000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88160"/>
        <c:crosses val="autoZero"/>
        <c:crossBetween val="midCat"/>
      </c:valAx>
      <c:valAx>
        <c:axId val="957288160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729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clal 2x2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PlateCircAxys!$D$4:$D$29</c:f>
              <c:numCache>
                <c:formatCode>0.0000</c:formatCode>
                <c:ptCount val="26"/>
                <c:pt idx="0" formatCode="General">
                  <c:v>0</c:v>
                </c:pt>
                <c:pt idx="1">
                  <c:v>9.0354000000000007E-3</c:v>
                </c:pt>
                <c:pt idx="2">
                  <c:v>2.71062E-2</c:v>
                </c:pt>
                <c:pt idx="3">
                  <c:v>6.3247800000000007E-2</c:v>
                </c:pt>
                <c:pt idx="4">
                  <c:v>0.13608400000000001</c:v>
                </c:pt>
                <c:pt idx="5">
                  <c:v>0.212614</c:v>
                </c:pt>
                <c:pt idx="6">
                  <c:v>0.28022200000000003</c:v>
                </c:pt>
                <c:pt idx="7">
                  <c:v>0.347418</c:v>
                </c:pt>
                <c:pt idx="8">
                  <c:v>0.41493000000000002</c:v>
                </c:pt>
                <c:pt idx="9">
                  <c:v>0.48294100000000001</c:v>
                </c:pt>
                <c:pt idx="10">
                  <c:v>0.55106200000000005</c:v>
                </c:pt>
                <c:pt idx="11">
                  <c:v>0.61926400000000004</c:v>
                </c:pt>
                <c:pt idx="12">
                  <c:v>0.68752599999999997</c:v>
                </c:pt>
                <c:pt idx="13">
                  <c:v>0.75582000000000005</c:v>
                </c:pt>
                <c:pt idx="14">
                  <c:v>0.82414699999999996</c:v>
                </c:pt>
                <c:pt idx="15">
                  <c:v>0.90307999999999999</c:v>
                </c:pt>
                <c:pt idx="16">
                  <c:v>0.98202800000000001</c:v>
                </c:pt>
                <c:pt idx="17">
                  <c:v>1.06098</c:v>
                </c:pt>
                <c:pt idx="18">
                  <c:v>1.13995</c:v>
                </c:pt>
                <c:pt idx="19">
                  <c:v>1.2189300000000001</c:v>
                </c:pt>
                <c:pt idx="20">
                  <c:v>1.29792</c:v>
                </c:pt>
                <c:pt idx="21">
                  <c:v>1.3769199999999999</c:v>
                </c:pt>
                <c:pt idx="22">
                  <c:v>1.4559200000000001</c:v>
                </c:pt>
                <c:pt idx="23">
                  <c:v>1.5349299999999999</c:v>
                </c:pt>
                <c:pt idx="24">
                  <c:v>1.61395</c:v>
                </c:pt>
                <c:pt idx="25">
                  <c:v>1.69296</c:v>
                </c:pt>
              </c:numCache>
            </c:numRef>
          </c:xVal>
          <c:yVal>
            <c:numRef>
              <c:f>PlateCircAxys!$C$4:$C$29</c:f>
              <c:numCache>
                <c:formatCode>0.00</c:formatCode>
                <c:ptCount val="26"/>
                <c:pt idx="0">
                  <c:v>0</c:v>
                </c:pt>
                <c:pt idx="1">
                  <c:v>12</c:v>
                </c:pt>
                <c:pt idx="2">
                  <c:v>36</c:v>
                </c:pt>
                <c:pt idx="3">
                  <c:v>84</c:v>
                </c:pt>
                <c:pt idx="4">
                  <c:v>177.48500000000001</c:v>
                </c:pt>
                <c:pt idx="5">
                  <c:v>215.35300000000001</c:v>
                </c:pt>
                <c:pt idx="6">
                  <c:v>230.93899999999999</c:v>
                </c:pt>
                <c:pt idx="7">
                  <c:v>237.976</c:v>
                </c:pt>
                <c:pt idx="8">
                  <c:v>243.63000000000002</c:v>
                </c:pt>
                <c:pt idx="9">
                  <c:v>247.83099999999999</c:v>
                </c:pt>
                <c:pt idx="10">
                  <c:v>251.10499999999999</c:v>
                </c:pt>
                <c:pt idx="11">
                  <c:v>253.554</c:v>
                </c:pt>
                <c:pt idx="12">
                  <c:v>255.67600000000002</c:v>
                </c:pt>
                <c:pt idx="13">
                  <c:v>257.32</c:v>
                </c:pt>
                <c:pt idx="14">
                  <c:v>258.61</c:v>
                </c:pt>
                <c:pt idx="15">
                  <c:v>259.69400000000002</c:v>
                </c:pt>
                <c:pt idx="16">
                  <c:v>260.351</c:v>
                </c:pt>
                <c:pt idx="17">
                  <c:v>260.59500000000003</c:v>
                </c:pt>
                <c:pt idx="18">
                  <c:v>260.64</c:v>
                </c:pt>
                <c:pt idx="19">
                  <c:v>260.67399999999998</c:v>
                </c:pt>
                <c:pt idx="20">
                  <c:v>260.70099999999996</c:v>
                </c:pt>
                <c:pt idx="21">
                  <c:v>260.72300000000001</c:v>
                </c:pt>
                <c:pt idx="22">
                  <c:v>260.74</c:v>
                </c:pt>
                <c:pt idx="23">
                  <c:v>260.755</c:v>
                </c:pt>
                <c:pt idx="24">
                  <c:v>260.767</c:v>
                </c:pt>
                <c:pt idx="25">
                  <c:v>260.77699999999999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6B-4EC7-A641-9E6AF0397B6E}"/>
            </c:ext>
          </c:extLst>
        </c:ser>
        <c:ser>
          <c:idx val="2"/>
          <c:order val="1"/>
          <c:tx>
            <c:v>Souza Neto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PlateCircAxys!$O$4:$O$15</c:f>
              <c:numCache>
                <c:formatCode>0.0000</c:formatCode>
                <c:ptCount val="12"/>
                <c:pt idx="0" formatCode="General">
                  <c:v>0</c:v>
                </c:pt>
                <c:pt idx="1">
                  <c:v>7.4999999999999997E-2</c:v>
                </c:pt>
                <c:pt idx="2">
                  <c:v>0.13227</c:v>
                </c:pt>
                <c:pt idx="3">
                  <c:v>0.17459</c:v>
                </c:pt>
                <c:pt idx="4">
                  <c:v>0.23139000000000001</c:v>
                </c:pt>
                <c:pt idx="5">
                  <c:v>0.27578000000000003</c:v>
                </c:pt>
                <c:pt idx="6">
                  <c:v>0.37672</c:v>
                </c:pt>
                <c:pt idx="7">
                  <c:v>0.54159999999999997</c:v>
                </c:pt>
                <c:pt idx="8">
                  <c:v>0.69166000000000005</c:v>
                </c:pt>
                <c:pt idx="9">
                  <c:v>0.77529000000000003</c:v>
                </c:pt>
                <c:pt idx="10">
                  <c:v>0.92532000000000003</c:v>
                </c:pt>
                <c:pt idx="11">
                  <c:v>1.3507</c:v>
                </c:pt>
              </c:numCache>
            </c:numRef>
          </c:xVal>
          <c:yVal>
            <c:numRef>
              <c:f>PlateCircAxys!$P$4:$P$15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157.71</c:v>
                </c:pt>
                <c:pt idx="3">
                  <c:v>200</c:v>
                </c:pt>
                <c:pt idx="4">
                  <c:v>220</c:v>
                </c:pt>
                <c:pt idx="5">
                  <c:v>230.29</c:v>
                </c:pt>
                <c:pt idx="6">
                  <c:v>240</c:v>
                </c:pt>
                <c:pt idx="7">
                  <c:v>250.29</c:v>
                </c:pt>
                <c:pt idx="8">
                  <c:v>254.86</c:v>
                </c:pt>
                <c:pt idx="9">
                  <c:v>257.14</c:v>
                </c:pt>
                <c:pt idx="10">
                  <c:v>259.43</c:v>
                </c:pt>
                <c:pt idx="11">
                  <c:v>259.8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6B-4EC7-A641-9E6AF0397B6E}"/>
            </c:ext>
          </c:extLst>
        </c:ser>
        <c:ser>
          <c:idx val="1"/>
          <c:order val="2"/>
          <c:tx>
            <c:v>Plim (ref.)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PlateCircAxys!$G$23:$G$24</c:f>
              <c:numCache>
                <c:formatCode>General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xVal>
          <c:yVal>
            <c:numRef>
              <c:f>PlateCircAxys!$H$23:$H$24</c:f>
              <c:numCache>
                <c:formatCode>General</c:formatCode>
                <c:ptCount val="2"/>
                <c:pt idx="0">
                  <c:v>260.8</c:v>
                </c:pt>
                <c:pt idx="1">
                  <c:v>260.8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6B-4EC7-A641-9E6AF0397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447968"/>
        <c:axId val="1541665264"/>
      </c:scatterChart>
      <c:valAx>
        <c:axId val="1404447968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1665264"/>
        <c:crosses val="autoZero"/>
        <c:crossBetween val="midCat"/>
      </c:valAx>
      <c:valAx>
        <c:axId val="15416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4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 = 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PlateCircAxys!$S$9:$AC$9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PlateCircAxys!$S$6:$AC$6</c:f>
              <c:numCache>
                <c:formatCode>0.00E+00</c:formatCode>
                <c:ptCount val="11"/>
                <c:pt idx="0">
                  <c:v>-7.5295000000000001E-2</c:v>
                </c:pt>
                <c:pt idx="1">
                  <c:v>-7.4385499999999993E-2</c:v>
                </c:pt>
                <c:pt idx="2">
                  <c:v>-7.1606600000000006E-2</c:v>
                </c:pt>
                <c:pt idx="3">
                  <c:v>-6.7089300000000004E-2</c:v>
                </c:pt>
                <c:pt idx="4">
                  <c:v>-6.0873799999999999E-2</c:v>
                </c:pt>
                <c:pt idx="5">
                  <c:v>-5.3180400000000003E-2</c:v>
                </c:pt>
                <c:pt idx="6">
                  <c:v>-4.4118299999999999E-2</c:v>
                </c:pt>
                <c:pt idx="7">
                  <c:v>-3.4014700000000002E-2</c:v>
                </c:pt>
                <c:pt idx="8">
                  <c:v>-2.3031099999999999E-2</c:v>
                </c:pt>
                <c:pt idx="9">
                  <c:v>-1.16271E-2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3-4351-B8B5-8B4BFBA22F3B}"/>
            </c:ext>
          </c:extLst>
        </c:ser>
        <c:ser>
          <c:idx val="1"/>
          <c:order val="1"/>
          <c:tx>
            <c:v>P = 200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PlateCircAxys!$S$9:$AC$9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PlateCircAxys!$S$7:$AC$7</c:f>
              <c:numCache>
                <c:formatCode>0.00E+00</c:formatCode>
                <c:ptCount val="11"/>
                <c:pt idx="0">
                  <c:v>-0.17263999999999999</c:v>
                </c:pt>
                <c:pt idx="1">
                  <c:v>-0.17016200000000001</c:v>
                </c:pt>
                <c:pt idx="2">
                  <c:v>-0.162825</c:v>
                </c:pt>
                <c:pt idx="3">
                  <c:v>-0.15117800000000001</c:v>
                </c:pt>
                <c:pt idx="4">
                  <c:v>-0.13580800000000001</c:v>
                </c:pt>
                <c:pt idx="5">
                  <c:v>-0.117534</c:v>
                </c:pt>
                <c:pt idx="6">
                  <c:v>-9.67808E-2</c:v>
                </c:pt>
                <c:pt idx="7">
                  <c:v>-7.4229100000000006E-2</c:v>
                </c:pt>
                <c:pt idx="8">
                  <c:v>-5.0090000000000003E-2</c:v>
                </c:pt>
                <c:pt idx="9">
                  <c:v>-2.5233599999999998E-2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A3-4351-B8B5-8B4BFBA22F3B}"/>
            </c:ext>
          </c:extLst>
        </c:ser>
        <c:ser>
          <c:idx val="2"/>
          <c:order val="2"/>
          <c:tx>
            <c:v>P = 250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PlateCircAxys!$S$9:$AC$9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PlateCircAxys!$S$8:$AC$8</c:f>
              <c:numCache>
                <c:formatCode>0.00E+00</c:formatCode>
                <c:ptCount val="11"/>
                <c:pt idx="0">
                  <c:v>-0.52673999999999999</c:v>
                </c:pt>
                <c:pt idx="1">
                  <c:v>-0.51801799999999998</c:v>
                </c:pt>
                <c:pt idx="2">
                  <c:v>-0.49265599999999998</c:v>
                </c:pt>
                <c:pt idx="3">
                  <c:v>-0.45310699999999998</c:v>
                </c:pt>
                <c:pt idx="4">
                  <c:v>-0.40218999999999999</c:v>
                </c:pt>
                <c:pt idx="5">
                  <c:v>-0.343107</c:v>
                </c:pt>
                <c:pt idx="6">
                  <c:v>-0.27804299999999998</c:v>
                </c:pt>
                <c:pt idx="7">
                  <c:v>-0.20966099999999999</c:v>
                </c:pt>
                <c:pt idx="8">
                  <c:v>-0.1394</c:v>
                </c:pt>
                <c:pt idx="9">
                  <c:v>-6.9305099999999994E-2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A3-4351-B8B5-8B4BFBA22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088319"/>
        <c:axId val="543084575"/>
      </c:scatterChart>
      <c:valAx>
        <c:axId val="54308831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Normalised</a:t>
                </a:r>
                <a:r>
                  <a:rPr lang="pt-BR" baseline="0"/>
                  <a:t> radial coordinate (r/R)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084575"/>
        <c:crossesAt val="-0.60000000000000009"/>
        <c:crossBetween val="midCat"/>
      </c:valAx>
      <c:valAx>
        <c:axId val="54308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Normalised deflection (v/h)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08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Elast 2D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CylPlast3D!$C$5:$C$25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5.4888200000000002E-3</c:v>
                </c:pt>
                <c:pt idx="2">
                  <c:v>1.0977600000000001E-2</c:v>
                </c:pt>
                <c:pt idx="3">
                  <c:v>1.6466499999999998E-2</c:v>
                </c:pt>
                <c:pt idx="4">
                  <c:v>2.1955300000000001E-2</c:v>
                </c:pt>
                <c:pt idx="5">
                  <c:v>2.7444099999999999E-2</c:v>
                </c:pt>
                <c:pt idx="6">
                  <c:v>3.2932900000000001E-2</c:v>
                </c:pt>
                <c:pt idx="7">
                  <c:v>3.8421699999999996E-2</c:v>
                </c:pt>
                <c:pt idx="8">
                  <c:v>4.3910499999999998E-2</c:v>
                </c:pt>
                <c:pt idx="9">
                  <c:v>4.9399400000000003E-2</c:v>
                </c:pt>
                <c:pt idx="10">
                  <c:v>5.4888199999999998E-2</c:v>
                </c:pt>
                <c:pt idx="11">
                  <c:v>6.0377E-2</c:v>
                </c:pt>
                <c:pt idx="12">
                  <c:v>6.5865800000000002E-2</c:v>
                </c:pt>
                <c:pt idx="13">
                  <c:v>7.135459999999999E-2</c:v>
                </c:pt>
                <c:pt idx="14">
                  <c:v>7.6843399999999992E-2</c:v>
                </c:pt>
                <c:pt idx="15">
                  <c:v>8.2332300000000011E-2</c:v>
                </c:pt>
                <c:pt idx="16">
                  <c:v>8.7821099999999999E-2</c:v>
                </c:pt>
                <c:pt idx="17">
                  <c:v>9.3309900000000001E-2</c:v>
                </c:pt>
                <c:pt idx="18">
                  <c:v>9.8798700000000003E-2</c:v>
                </c:pt>
                <c:pt idx="19">
                  <c:v>0.10428800000000001</c:v>
                </c:pt>
                <c:pt idx="20">
                  <c:v>0.109776</c:v>
                </c:pt>
              </c:numCache>
            </c:numRef>
          </c:xVal>
          <c:yVal>
            <c:numRef>
              <c:f>CylPlast3D!$D$5:$D$25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9.4999999999999998E-3</c:v>
                </c:pt>
                <c:pt idx="2">
                  <c:v>1.9E-2</c:v>
                </c:pt>
                <c:pt idx="3">
                  <c:v>2.8500000000000001E-2</c:v>
                </c:pt>
                <c:pt idx="4">
                  <c:v>3.7999999999999999E-2</c:v>
                </c:pt>
                <c:pt idx="5">
                  <c:v>4.7500000000000001E-2</c:v>
                </c:pt>
                <c:pt idx="6">
                  <c:v>5.7000000000000002E-2</c:v>
                </c:pt>
                <c:pt idx="7">
                  <c:v>6.6500000000000004E-2</c:v>
                </c:pt>
                <c:pt idx="8">
                  <c:v>7.5999999999999998E-2</c:v>
                </c:pt>
                <c:pt idx="9">
                  <c:v>8.5500000000000007E-2</c:v>
                </c:pt>
                <c:pt idx="10">
                  <c:v>9.5000000000000001E-2</c:v>
                </c:pt>
                <c:pt idx="11">
                  <c:v>0.1045</c:v>
                </c:pt>
                <c:pt idx="12">
                  <c:v>0.114</c:v>
                </c:pt>
                <c:pt idx="13">
                  <c:v>0.1235</c:v>
                </c:pt>
                <c:pt idx="14">
                  <c:v>0.13300000000000001</c:v>
                </c:pt>
                <c:pt idx="15">
                  <c:v>0.14249999999999999</c:v>
                </c:pt>
                <c:pt idx="16">
                  <c:v>0.152</c:v>
                </c:pt>
                <c:pt idx="17">
                  <c:v>0.1615</c:v>
                </c:pt>
                <c:pt idx="18">
                  <c:v>0.17100000000000001</c:v>
                </c:pt>
                <c:pt idx="19">
                  <c:v>0.18049999999999999</c:v>
                </c:pt>
                <c:pt idx="2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8-4D15-8F63-7911F2D33660}"/>
            </c:ext>
          </c:extLst>
        </c:ser>
        <c:ser>
          <c:idx val="0"/>
          <c:order val="1"/>
          <c:tx>
            <c:v>Elast 3D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CylPlast3D!$J$5:$J$25</c:f>
              <c:numCache>
                <c:formatCode>General</c:formatCode>
                <c:ptCount val="21"/>
                <c:pt idx="0">
                  <c:v>0</c:v>
                </c:pt>
                <c:pt idx="1">
                  <c:v>5.4888200000000002E-3</c:v>
                </c:pt>
                <c:pt idx="2">
                  <c:v>1.0977600000000001E-2</c:v>
                </c:pt>
                <c:pt idx="3">
                  <c:v>1.6466499999999998E-2</c:v>
                </c:pt>
                <c:pt idx="4">
                  <c:v>2.1955300000000001E-2</c:v>
                </c:pt>
                <c:pt idx="5">
                  <c:v>2.7444099999999999E-2</c:v>
                </c:pt>
                <c:pt idx="6">
                  <c:v>3.2932900000000001E-2</c:v>
                </c:pt>
                <c:pt idx="7">
                  <c:v>3.8421699999999996E-2</c:v>
                </c:pt>
                <c:pt idx="8">
                  <c:v>4.3910499999999998E-2</c:v>
                </c:pt>
                <c:pt idx="9">
                  <c:v>4.9399400000000003E-2</c:v>
                </c:pt>
                <c:pt idx="10">
                  <c:v>5.4888199999999998E-2</c:v>
                </c:pt>
                <c:pt idx="11">
                  <c:v>6.0377E-2</c:v>
                </c:pt>
                <c:pt idx="12">
                  <c:v>6.5865800000000002E-2</c:v>
                </c:pt>
                <c:pt idx="13">
                  <c:v>7.135459999999999E-2</c:v>
                </c:pt>
                <c:pt idx="14">
                  <c:v>7.6843399999999992E-2</c:v>
                </c:pt>
                <c:pt idx="15">
                  <c:v>8.2332300000000011E-2</c:v>
                </c:pt>
                <c:pt idx="16">
                  <c:v>8.7821099999999999E-2</c:v>
                </c:pt>
                <c:pt idx="17">
                  <c:v>9.3309900000000001E-2</c:v>
                </c:pt>
                <c:pt idx="18">
                  <c:v>9.8798700000000003E-2</c:v>
                </c:pt>
                <c:pt idx="19">
                  <c:v>0.10428800000000001</c:v>
                </c:pt>
                <c:pt idx="20">
                  <c:v>0.109776</c:v>
                </c:pt>
              </c:numCache>
            </c:numRef>
          </c:xVal>
          <c:yVal>
            <c:numRef>
              <c:f>CylPlast3D!$K$5:$K$25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9.4999999999999998E-3</c:v>
                </c:pt>
                <c:pt idx="2">
                  <c:v>1.9E-2</c:v>
                </c:pt>
                <c:pt idx="3">
                  <c:v>2.8500000000000001E-2</c:v>
                </c:pt>
                <c:pt idx="4">
                  <c:v>3.7999999999999999E-2</c:v>
                </c:pt>
                <c:pt idx="5">
                  <c:v>4.7500000000000001E-2</c:v>
                </c:pt>
                <c:pt idx="6">
                  <c:v>5.7000000000000002E-2</c:v>
                </c:pt>
                <c:pt idx="7">
                  <c:v>6.6500000000000004E-2</c:v>
                </c:pt>
                <c:pt idx="8">
                  <c:v>7.5999999999999998E-2</c:v>
                </c:pt>
                <c:pt idx="9">
                  <c:v>8.5500000000000007E-2</c:v>
                </c:pt>
                <c:pt idx="10">
                  <c:v>9.5000000000000001E-2</c:v>
                </c:pt>
                <c:pt idx="11">
                  <c:v>0.1045</c:v>
                </c:pt>
                <c:pt idx="12">
                  <c:v>0.114</c:v>
                </c:pt>
                <c:pt idx="13">
                  <c:v>0.1235</c:v>
                </c:pt>
                <c:pt idx="14">
                  <c:v>0.13300000000000001</c:v>
                </c:pt>
                <c:pt idx="15">
                  <c:v>0.14249999999999999</c:v>
                </c:pt>
                <c:pt idx="16">
                  <c:v>0.152</c:v>
                </c:pt>
                <c:pt idx="17">
                  <c:v>0.1615</c:v>
                </c:pt>
                <c:pt idx="18">
                  <c:v>0.17100000000000001</c:v>
                </c:pt>
                <c:pt idx="19">
                  <c:v>0.18049999999999999</c:v>
                </c:pt>
                <c:pt idx="2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78-4D15-8F63-7911F2D33660}"/>
            </c:ext>
          </c:extLst>
        </c:ser>
        <c:ser>
          <c:idx val="2"/>
          <c:order val="2"/>
          <c:tx>
            <c:v>Plast 2D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CylPlast3D!$E$5:$E$25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5.4888200000000002E-3</c:v>
                </c:pt>
                <c:pt idx="2">
                  <c:v>1.0977600000000001E-2</c:v>
                </c:pt>
                <c:pt idx="3">
                  <c:v>1.6466499999999998E-2</c:v>
                </c:pt>
                <c:pt idx="4">
                  <c:v>2.1955300000000001E-2</c:v>
                </c:pt>
                <c:pt idx="5">
                  <c:v>2.7444099999999999E-2</c:v>
                </c:pt>
                <c:pt idx="6">
                  <c:v>3.2932900000000001E-2</c:v>
                </c:pt>
                <c:pt idx="7">
                  <c:v>3.8421699999999996E-2</c:v>
                </c:pt>
                <c:pt idx="8">
                  <c:v>4.3910499999999998E-2</c:v>
                </c:pt>
                <c:pt idx="9">
                  <c:v>4.9399400000000003E-2</c:v>
                </c:pt>
                <c:pt idx="10">
                  <c:v>5.4888199999999998E-2</c:v>
                </c:pt>
                <c:pt idx="11">
                  <c:v>6.0377E-2</c:v>
                </c:pt>
                <c:pt idx="12">
                  <c:v>6.6231300000000007E-2</c:v>
                </c:pt>
                <c:pt idx="13">
                  <c:v>7.3031200000000004E-2</c:v>
                </c:pt>
                <c:pt idx="14">
                  <c:v>8.0767500000000006E-2</c:v>
                </c:pt>
                <c:pt idx="15">
                  <c:v>8.9865500000000001E-2</c:v>
                </c:pt>
                <c:pt idx="16">
                  <c:v>0.10061200000000001</c:v>
                </c:pt>
                <c:pt idx="17">
                  <c:v>0.113923</c:v>
                </c:pt>
                <c:pt idx="18">
                  <c:v>0.13104100000000002</c:v>
                </c:pt>
                <c:pt idx="19">
                  <c:v>0.15507300000000002</c:v>
                </c:pt>
                <c:pt idx="20">
                  <c:v>0.20083699999999999</c:v>
                </c:pt>
              </c:numCache>
            </c:numRef>
          </c:xVal>
          <c:yVal>
            <c:numRef>
              <c:f>CylPlast3D!$D$5:$D$25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9.4999999999999998E-3</c:v>
                </c:pt>
                <c:pt idx="2">
                  <c:v>1.9E-2</c:v>
                </c:pt>
                <c:pt idx="3">
                  <c:v>2.8500000000000001E-2</c:v>
                </c:pt>
                <c:pt idx="4">
                  <c:v>3.7999999999999999E-2</c:v>
                </c:pt>
                <c:pt idx="5">
                  <c:v>4.7500000000000001E-2</c:v>
                </c:pt>
                <c:pt idx="6">
                  <c:v>5.7000000000000002E-2</c:v>
                </c:pt>
                <c:pt idx="7">
                  <c:v>6.6500000000000004E-2</c:v>
                </c:pt>
                <c:pt idx="8">
                  <c:v>7.5999999999999998E-2</c:v>
                </c:pt>
                <c:pt idx="9">
                  <c:v>8.5500000000000007E-2</c:v>
                </c:pt>
                <c:pt idx="10">
                  <c:v>9.5000000000000001E-2</c:v>
                </c:pt>
                <c:pt idx="11">
                  <c:v>0.1045</c:v>
                </c:pt>
                <c:pt idx="12">
                  <c:v>0.114</c:v>
                </c:pt>
                <c:pt idx="13">
                  <c:v>0.1235</c:v>
                </c:pt>
                <c:pt idx="14">
                  <c:v>0.13300000000000001</c:v>
                </c:pt>
                <c:pt idx="15">
                  <c:v>0.14249999999999999</c:v>
                </c:pt>
                <c:pt idx="16">
                  <c:v>0.152</c:v>
                </c:pt>
                <c:pt idx="17">
                  <c:v>0.1615</c:v>
                </c:pt>
                <c:pt idx="18">
                  <c:v>0.17100000000000001</c:v>
                </c:pt>
                <c:pt idx="19">
                  <c:v>0.18049999999999999</c:v>
                </c:pt>
                <c:pt idx="2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78-4D15-8F63-7911F2D33660}"/>
            </c:ext>
          </c:extLst>
        </c:ser>
        <c:ser>
          <c:idx val="3"/>
          <c:order val="3"/>
          <c:tx>
            <c:v>Plast 3D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CylPlast3D!$M$5:$M$25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5.4888200000000002E-3</c:v>
                </c:pt>
                <c:pt idx="2">
                  <c:v>1.0977600000000001E-2</c:v>
                </c:pt>
                <c:pt idx="3">
                  <c:v>1.6466499999999998E-2</c:v>
                </c:pt>
                <c:pt idx="4">
                  <c:v>2.1955300000000001E-2</c:v>
                </c:pt>
                <c:pt idx="5">
                  <c:v>2.7444099999999999E-2</c:v>
                </c:pt>
                <c:pt idx="6">
                  <c:v>3.2932900000000001E-2</c:v>
                </c:pt>
                <c:pt idx="7">
                  <c:v>3.8421699999999996E-2</c:v>
                </c:pt>
                <c:pt idx="8">
                  <c:v>4.3910499999999998E-2</c:v>
                </c:pt>
                <c:pt idx="9">
                  <c:v>4.9399400000000003E-2</c:v>
                </c:pt>
                <c:pt idx="10">
                  <c:v>5.4888199999999998E-2</c:v>
                </c:pt>
                <c:pt idx="11">
                  <c:v>6.0377E-2</c:v>
                </c:pt>
                <c:pt idx="12">
                  <c:v>6.6231300000000007E-2</c:v>
                </c:pt>
                <c:pt idx="13">
                  <c:v>7.3031200000000004E-2</c:v>
                </c:pt>
                <c:pt idx="14">
                  <c:v>8.0767500000000006E-2</c:v>
                </c:pt>
                <c:pt idx="15">
                  <c:v>8.9865399999999998E-2</c:v>
                </c:pt>
                <c:pt idx="16">
                  <c:v>0.10061200000000001</c:v>
                </c:pt>
                <c:pt idx="17">
                  <c:v>0.113923</c:v>
                </c:pt>
                <c:pt idx="18">
                  <c:v>0.13104100000000002</c:v>
                </c:pt>
                <c:pt idx="19">
                  <c:v>0.15507199999999999</c:v>
                </c:pt>
                <c:pt idx="20">
                  <c:v>0.20083699999999999</c:v>
                </c:pt>
              </c:numCache>
            </c:numRef>
          </c:xVal>
          <c:yVal>
            <c:numRef>
              <c:f>CylPlast3D!$K$5:$K$25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9.4999999999999998E-3</c:v>
                </c:pt>
                <c:pt idx="2">
                  <c:v>1.9E-2</c:v>
                </c:pt>
                <c:pt idx="3">
                  <c:v>2.8500000000000001E-2</c:v>
                </c:pt>
                <c:pt idx="4">
                  <c:v>3.7999999999999999E-2</c:v>
                </c:pt>
                <c:pt idx="5">
                  <c:v>4.7500000000000001E-2</c:v>
                </c:pt>
                <c:pt idx="6">
                  <c:v>5.7000000000000002E-2</c:v>
                </c:pt>
                <c:pt idx="7">
                  <c:v>6.6500000000000004E-2</c:v>
                </c:pt>
                <c:pt idx="8">
                  <c:v>7.5999999999999998E-2</c:v>
                </c:pt>
                <c:pt idx="9">
                  <c:v>8.5500000000000007E-2</c:v>
                </c:pt>
                <c:pt idx="10">
                  <c:v>9.5000000000000001E-2</c:v>
                </c:pt>
                <c:pt idx="11">
                  <c:v>0.1045</c:v>
                </c:pt>
                <c:pt idx="12">
                  <c:v>0.114</c:v>
                </c:pt>
                <c:pt idx="13">
                  <c:v>0.1235</c:v>
                </c:pt>
                <c:pt idx="14">
                  <c:v>0.13300000000000001</c:v>
                </c:pt>
                <c:pt idx="15">
                  <c:v>0.14249999999999999</c:v>
                </c:pt>
                <c:pt idx="16">
                  <c:v>0.152</c:v>
                </c:pt>
                <c:pt idx="17">
                  <c:v>0.1615</c:v>
                </c:pt>
                <c:pt idx="18">
                  <c:v>0.17100000000000001</c:v>
                </c:pt>
                <c:pt idx="19">
                  <c:v>0.18049999999999999</c:v>
                </c:pt>
                <c:pt idx="2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78-4D15-8F63-7911F2D33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57631"/>
        <c:axId val="426268863"/>
      </c:scatterChart>
      <c:valAx>
        <c:axId val="4262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6268863"/>
        <c:crosses val="autoZero"/>
        <c:crossBetween val="midCat"/>
      </c:valAx>
      <c:valAx>
        <c:axId val="4262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6257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4"/>
          <c:order val="0"/>
          <c:tx>
            <c:v>clal 2x2 - B20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PlateCirc3D!$O$5:$O$17</c:f>
              <c:numCache>
                <c:formatCode>0.00E+00</c:formatCode>
                <c:ptCount val="13"/>
                <c:pt idx="0" formatCode="General">
                  <c:v>0</c:v>
                </c:pt>
                <c:pt idx="1">
                  <c:v>7.5152500000000002E-3</c:v>
                </c:pt>
                <c:pt idx="2">
                  <c:v>2.59238E-2</c:v>
                </c:pt>
                <c:pt idx="3">
                  <c:v>7.1015200000000001E-2</c:v>
                </c:pt>
                <c:pt idx="4">
                  <c:v>0.18735399999999999</c:v>
                </c:pt>
                <c:pt idx="5">
                  <c:v>0.31725799999999998</c:v>
                </c:pt>
                <c:pt idx="6">
                  <c:v>0.45638099999999998</c:v>
                </c:pt>
                <c:pt idx="7">
                  <c:v>0.59765800000000002</c:v>
                </c:pt>
                <c:pt idx="8">
                  <c:v>0.81116500000000002</c:v>
                </c:pt>
                <c:pt idx="9">
                  <c:v>1.07036</c:v>
                </c:pt>
                <c:pt idx="10">
                  <c:v>1.2261599999999999</c:v>
                </c:pt>
                <c:pt idx="11">
                  <c:v>1.3582399999999999</c:v>
                </c:pt>
                <c:pt idx="12">
                  <c:v>1.6154200000000001</c:v>
                </c:pt>
              </c:numCache>
            </c:numRef>
          </c:xVal>
          <c:yVal>
            <c:numRef>
              <c:f>PlateCirc3D!$Q$5:$Q$17</c:f>
              <c:numCache>
                <c:formatCode>0.00E+00</c:formatCode>
                <c:ptCount val="13"/>
                <c:pt idx="0" formatCode="General">
                  <c:v>0</c:v>
                </c:pt>
                <c:pt idx="1">
                  <c:v>10</c:v>
                </c:pt>
                <c:pt idx="2">
                  <c:v>34.494900000000001</c:v>
                </c:pt>
                <c:pt idx="3">
                  <c:v>94.494900000000001</c:v>
                </c:pt>
                <c:pt idx="4">
                  <c:v>206.86499999999998</c:v>
                </c:pt>
                <c:pt idx="5">
                  <c:v>235.44200000000001</c:v>
                </c:pt>
                <c:pt idx="6">
                  <c:v>246.678</c:v>
                </c:pt>
                <c:pt idx="7">
                  <c:v>253.24</c:v>
                </c:pt>
                <c:pt idx="8">
                  <c:v>258.62400000000002</c:v>
                </c:pt>
                <c:pt idx="9">
                  <c:v>260.387</c:v>
                </c:pt>
                <c:pt idx="10">
                  <c:v>259.61799999999999</c:v>
                </c:pt>
                <c:pt idx="11">
                  <c:v>259.34399999999999</c:v>
                </c:pt>
                <c:pt idx="12">
                  <c:v>260.22399999999999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1E-4279-B570-425EE29558AC}"/>
            </c:ext>
          </c:extLst>
        </c:ser>
        <c:ser>
          <c:idx val="0"/>
          <c:order val="1"/>
          <c:tx>
            <c:v>lcm 3x3 - B20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PlateCirc3D!$D$5:$D$32</c:f>
              <c:numCache>
                <c:formatCode>0.00E+00</c:formatCode>
                <c:ptCount val="28"/>
                <c:pt idx="0" formatCode="General">
                  <c:v>0</c:v>
                </c:pt>
                <c:pt idx="1">
                  <c:v>7.5050300000000002E-3</c:v>
                </c:pt>
                <c:pt idx="2">
                  <c:v>1.50101E-2</c:v>
                </c:pt>
                <c:pt idx="3">
                  <c:v>2.25151E-2</c:v>
                </c:pt>
                <c:pt idx="4">
                  <c:v>3.0020100000000001E-2</c:v>
                </c:pt>
                <c:pt idx="5">
                  <c:v>3.7525099999999999E-2</c:v>
                </c:pt>
                <c:pt idx="6">
                  <c:v>4.5030199999999999E-2</c:v>
                </c:pt>
                <c:pt idx="7">
                  <c:v>5.2535199999999997E-2</c:v>
                </c:pt>
                <c:pt idx="8">
                  <c:v>6.0040200000000002E-2</c:v>
                </c:pt>
                <c:pt idx="9">
                  <c:v>6.75452E-2</c:v>
                </c:pt>
                <c:pt idx="10">
                  <c:v>7.50503E-2</c:v>
                </c:pt>
                <c:pt idx="11">
                  <c:v>8.2555299999999998E-2</c:v>
                </c:pt>
                <c:pt idx="12">
                  <c:v>9.0060299999999996E-2</c:v>
                </c:pt>
                <c:pt idx="13">
                  <c:v>9.7565299999999994E-2</c:v>
                </c:pt>
                <c:pt idx="14">
                  <c:v>0.10507</c:v>
                </c:pt>
                <c:pt idx="15">
                  <c:v>0.11258600000000001</c:v>
                </c:pt>
                <c:pt idx="16">
                  <c:v>0.121132</c:v>
                </c:pt>
                <c:pt idx="17">
                  <c:v>0.130937</c:v>
                </c:pt>
                <c:pt idx="18">
                  <c:v>0.14169799999999999</c:v>
                </c:pt>
                <c:pt idx="19">
                  <c:v>0.153282</c:v>
                </c:pt>
                <c:pt idx="20">
                  <c:v>0.165604</c:v>
                </c:pt>
                <c:pt idx="21">
                  <c:v>0.18135100000000001</c:v>
                </c:pt>
                <c:pt idx="22">
                  <c:v>0.203515</c:v>
                </c:pt>
                <c:pt idx="23">
                  <c:v>0.23483299999999999</c:v>
                </c:pt>
                <c:pt idx="24">
                  <c:v>0.291875</c:v>
                </c:pt>
                <c:pt idx="25">
                  <c:v>0.41303800000000002</c:v>
                </c:pt>
                <c:pt idx="26">
                  <c:v>1.2143600000000001</c:v>
                </c:pt>
                <c:pt idx="27">
                  <c:v>9281.1</c:v>
                </c:pt>
              </c:numCache>
            </c:numRef>
          </c:xVal>
          <c:yVal>
            <c:numRef>
              <c:f>PlateCirc3D!$F$5:$F$32</c:f>
              <c:numCache>
                <c:formatCode>General</c:formatCode>
                <c:ptCount val="2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220.00000000000003</c:v>
                </c:pt>
                <c:pt idx="23">
                  <c:v>229.99999999999997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1E-4279-B570-425EE29558AC}"/>
            </c:ext>
          </c:extLst>
        </c:ser>
        <c:ser>
          <c:idx val="3"/>
          <c:order val="2"/>
          <c:tx>
            <c:v>clal 3x3 - B20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PlateCirc3D!$J$5:$J$19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7.5050300000000002E-3</c:v>
                </c:pt>
                <c:pt idx="2">
                  <c:v>2.5888499999999998E-2</c:v>
                </c:pt>
                <c:pt idx="3">
                  <c:v>7.0918700000000001E-2</c:v>
                </c:pt>
                <c:pt idx="4">
                  <c:v>0.18521299999999999</c:v>
                </c:pt>
                <c:pt idx="5">
                  <c:v>0.31888499999999997</c:v>
                </c:pt>
                <c:pt idx="6">
                  <c:v>0.46178200000000003</c:v>
                </c:pt>
                <c:pt idx="7">
                  <c:v>0.63485100000000005</c:v>
                </c:pt>
                <c:pt idx="8">
                  <c:v>0.846862</c:v>
                </c:pt>
                <c:pt idx="9">
                  <c:v>1.10686</c:v>
                </c:pt>
                <c:pt idx="10">
                  <c:v>1.42333</c:v>
                </c:pt>
                <c:pt idx="11">
                  <c:v>1.77119</c:v>
                </c:pt>
                <c:pt idx="12">
                  <c:v>2.08779</c:v>
                </c:pt>
                <c:pt idx="13">
                  <c:v>2.50596</c:v>
                </c:pt>
                <c:pt idx="14">
                  <c:v>2.9798800000000001</c:v>
                </c:pt>
              </c:numCache>
            </c:numRef>
          </c:xVal>
          <c:yVal>
            <c:numRef>
              <c:f>PlateCirc3D!$L$5:$L$19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10</c:v>
                </c:pt>
                <c:pt idx="2">
                  <c:v>34.494900000000001</c:v>
                </c:pt>
                <c:pt idx="3">
                  <c:v>94.494900000000001</c:v>
                </c:pt>
                <c:pt idx="4">
                  <c:v>211.67600000000002</c:v>
                </c:pt>
                <c:pt idx="5">
                  <c:v>242.95399999999998</c:v>
                </c:pt>
                <c:pt idx="6">
                  <c:v>251.57400000000001</c:v>
                </c:pt>
                <c:pt idx="7">
                  <c:v>254.405</c:v>
                </c:pt>
                <c:pt idx="8">
                  <c:v>257.12600000000003</c:v>
                </c:pt>
                <c:pt idx="9">
                  <c:v>259.09800000000001</c:v>
                </c:pt>
                <c:pt idx="10">
                  <c:v>260.435</c:v>
                </c:pt>
                <c:pt idx="11">
                  <c:v>260.97899999999998</c:v>
                </c:pt>
                <c:pt idx="12">
                  <c:v>260.72899999999998</c:v>
                </c:pt>
                <c:pt idx="13">
                  <c:v>261.06200000000001</c:v>
                </c:pt>
                <c:pt idx="14">
                  <c:v>261.06200000000001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1E-4279-B570-425EE29558AC}"/>
            </c:ext>
          </c:extLst>
        </c:ser>
        <c:ser>
          <c:idx val="2"/>
          <c:order val="3"/>
          <c:tx>
            <c:v>Souza Neto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PlateCircAxys!$O$4:$O$15</c:f>
              <c:numCache>
                <c:formatCode>0.0000</c:formatCode>
                <c:ptCount val="12"/>
                <c:pt idx="0" formatCode="General">
                  <c:v>0</c:v>
                </c:pt>
                <c:pt idx="1">
                  <c:v>7.4999999999999997E-2</c:v>
                </c:pt>
                <c:pt idx="2">
                  <c:v>0.13227</c:v>
                </c:pt>
                <c:pt idx="3">
                  <c:v>0.17459</c:v>
                </c:pt>
                <c:pt idx="4">
                  <c:v>0.23139000000000001</c:v>
                </c:pt>
                <c:pt idx="5">
                  <c:v>0.27578000000000003</c:v>
                </c:pt>
                <c:pt idx="6">
                  <c:v>0.37672</c:v>
                </c:pt>
                <c:pt idx="7">
                  <c:v>0.54159999999999997</c:v>
                </c:pt>
                <c:pt idx="8">
                  <c:v>0.69166000000000005</c:v>
                </c:pt>
                <c:pt idx="9">
                  <c:v>0.77529000000000003</c:v>
                </c:pt>
                <c:pt idx="10">
                  <c:v>0.92532000000000003</c:v>
                </c:pt>
                <c:pt idx="11">
                  <c:v>1.3507</c:v>
                </c:pt>
              </c:numCache>
            </c:numRef>
          </c:xVal>
          <c:yVal>
            <c:numRef>
              <c:f>PlateCircAxys!$P$4:$P$15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157.71</c:v>
                </c:pt>
                <c:pt idx="3">
                  <c:v>200</c:v>
                </c:pt>
                <c:pt idx="4">
                  <c:v>220</c:v>
                </c:pt>
                <c:pt idx="5">
                  <c:v>230.29</c:v>
                </c:pt>
                <c:pt idx="6">
                  <c:v>240</c:v>
                </c:pt>
                <c:pt idx="7">
                  <c:v>250.29</c:v>
                </c:pt>
                <c:pt idx="8">
                  <c:v>254.86</c:v>
                </c:pt>
                <c:pt idx="9">
                  <c:v>257.14</c:v>
                </c:pt>
                <c:pt idx="10">
                  <c:v>259.43</c:v>
                </c:pt>
                <c:pt idx="11">
                  <c:v>259.8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1E-4279-B570-425EE29558AC}"/>
            </c:ext>
          </c:extLst>
        </c:ser>
        <c:ser>
          <c:idx val="1"/>
          <c:order val="4"/>
          <c:tx>
            <c:v>Plim (ref.)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PlateCircAxys!$G$23:$G$24</c:f>
              <c:numCache>
                <c:formatCode>General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xVal>
          <c:yVal>
            <c:numRef>
              <c:f>PlateCircAxys!$H$23:$H$24</c:f>
              <c:numCache>
                <c:formatCode>General</c:formatCode>
                <c:ptCount val="2"/>
                <c:pt idx="0">
                  <c:v>260.8</c:v>
                </c:pt>
                <c:pt idx="1">
                  <c:v>260.8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1E-4279-B570-425EE295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447968"/>
        <c:axId val="1541665264"/>
      </c:scatterChart>
      <c:valAx>
        <c:axId val="1404447968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1665264"/>
        <c:crosses val="autoZero"/>
        <c:crossBetween val="midCat"/>
      </c:valAx>
      <c:valAx>
        <c:axId val="15416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447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FAST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CantileverPlastPlaneStress!$C$3:$C$53</c:f>
              <c:numCache>
                <c:formatCode>0.00E+00</c:formatCode>
                <c:ptCount val="51"/>
                <c:pt idx="0">
                  <c:v>0</c:v>
                </c:pt>
                <c:pt idx="1">
                  <c:v>1.9696000962999998E-3</c:v>
                </c:pt>
                <c:pt idx="2">
                  <c:v>3.9392001927000004E-3</c:v>
                </c:pt>
                <c:pt idx="3">
                  <c:v>5.9088100679000003E-3</c:v>
                </c:pt>
                <c:pt idx="4">
                  <c:v>7.8784096986000002E-3</c:v>
                </c:pt>
                <c:pt idx="5">
                  <c:v>9.8484400660000006E-3</c:v>
                </c:pt>
                <c:pt idx="6">
                  <c:v>1.1824600399000001E-2</c:v>
                </c:pt>
                <c:pt idx="7">
                  <c:v>1.3801599853E-2</c:v>
                </c:pt>
                <c:pt idx="8">
                  <c:v>1.5778599306999999E-2</c:v>
                </c:pt>
                <c:pt idx="9">
                  <c:v>1.7756100744000001E-2</c:v>
                </c:pt>
                <c:pt idx="10">
                  <c:v>1.9735800102E-2</c:v>
                </c:pt>
                <c:pt idx="11">
                  <c:v>2.1715600044E-2</c:v>
                </c:pt>
                <c:pt idx="12">
                  <c:v>2.3695399985000001E-2</c:v>
                </c:pt>
                <c:pt idx="13">
                  <c:v>2.5675199926000002E-2</c:v>
                </c:pt>
                <c:pt idx="14">
                  <c:v>2.7655100450000001E-2</c:v>
                </c:pt>
                <c:pt idx="15">
                  <c:v>2.9634900390999998E-2</c:v>
                </c:pt>
                <c:pt idx="16">
                  <c:v>3.1614698470000001E-2</c:v>
                </c:pt>
                <c:pt idx="17">
                  <c:v>3.3594500272999997E-2</c:v>
                </c:pt>
                <c:pt idx="18">
                  <c:v>3.5574298352000003E-2</c:v>
                </c:pt>
                <c:pt idx="19">
                  <c:v>3.7554200739000003E-2</c:v>
                </c:pt>
                <c:pt idx="20">
                  <c:v>3.9533998817000003E-2</c:v>
                </c:pt>
                <c:pt idx="21">
                  <c:v>4.1513800620999998E-2</c:v>
                </c:pt>
                <c:pt idx="22">
                  <c:v>4.3493598699999997E-2</c:v>
                </c:pt>
                <c:pt idx="23">
                  <c:v>4.5473501085999998E-2</c:v>
                </c:pt>
                <c:pt idx="24">
                  <c:v>4.7453299164999997E-2</c:v>
                </c:pt>
                <c:pt idx="25">
                  <c:v>4.9433100968999999E-2</c:v>
                </c:pt>
                <c:pt idx="26">
                  <c:v>5.1412899046999999E-2</c:v>
                </c:pt>
                <c:pt idx="27">
                  <c:v>5.3392801433999999E-2</c:v>
                </c:pt>
                <c:pt idx="28">
                  <c:v>5.5372599511999999E-2</c:v>
                </c:pt>
                <c:pt idx="29">
                  <c:v>5.7352401316000001E-2</c:v>
                </c:pt>
                <c:pt idx="30">
                  <c:v>5.9332199395E-2</c:v>
                </c:pt>
                <c:pt idx="31">
                  <c:v>6.1312001199000002E-2</c:v>
                </c:pt>
                <c:pt idx="32">
                  <c:v>6.329189986E-2</c:v>
                </c:pt>
                <c:pt idx="33">
                  <c:v>6.5271697938000001E-2</c:v>
                </c:pt>
                <c:pt idx="34">
                  <c:v>6.7251503468000004E-2</c:v>
                </c:pt>
                <c:pt idx="35">
                  <c:v>6.9231301546000004E-2</c:v>
                </c:pt>
                <c:pt idx="36">
                  <c:v>7.1211196482E-2</c:v>
                </c:pt>
                <c:pt idx="37">
                  <c:v>7.3191002010999998E-2</c:v>
                </c:pt>
                <c:pt idx="38">
                  <c:v>7.5170800090000003E-2</c:v>
                </c:pt>
                <c:pt idx="39">
                  <c:v>7.7150598168000004E-2</c:v>
                </c:pt>
                <c:pt idx="40">
                  <c:v>7.9130500554999997E-2</c:v>
                </c:pt>
                <c:pt idx="41">
                  <c:v>8.1110298634000003E-2</c:v>
                </c:pt>
                <c:pt idx="42">
                  <c:v>8.3090096712000003E-2</c:v>
                </c:pt>
                <c:pt idx="43">
                  <c:v>8.5069902241000001E-2</c:v>
                </c:pt>
                <c:pt idx="44">
                  <c:v>8.7049797176999996E-2</c:v>
                </c:pt>
                <c:pt idx="45">
                  <c:v>8.9029602705999994E-2</c:v>
                </c:pt>
                <c:pt idx="46">
                  <c:v>9.1009400785E-2</c:v>
                </c:pt>
                <c:pt idx="47">
                  <c:v>9.2989198864000006E-2</c:v>
                </c:pt>
                <c:pt idx="48">
                  <c:v>9.4969101249999993E-2</c:v>
                </c:pt>
                <c:pt idx="49">
                  <c:v>9.6948899328999999E-2</c:v>
                </c:pt>
                <c:pt idx="50">
                  <c:v>9.8928697406999999E-2</c:v>
                </c:pt>
              </c:numCache>
            </c:numRef>
          </c:xVal>
          <c:yVal>
            <c:numRef>
              <c:f>CantileverPlastPlaneStress!$D$3:$D$53</c:f>
              <c:numCache>
                <c:formatCode>0.00</c:formatCode>
                <c:ptCount val="51"/>
                <c:pt idx="0">
                  <c:v>0</c:v>
                </c:pt>
                <c:pt idx="1">
                  <c:v>5.2051701546000002</c:v>
                </c:pt>
                <c:pt idx="2">
                  <c:v>10.410300254999999</c:v>
                </c:pt>
                <c:pt idx="3">
                  <c:v>15.615500450000001</c:v>
                </c:pt>
                <c:pt idx="4">
                  <c:v>20.820699692000002</c:v>
                </c:pt>
                <c:pt idx="5">
                  <c:v>25.809099196999998</c:v>
                </c:pt>
                <c:pt idx="6">
                  <c:v>27.569799422999999</c:v>
                </c:pt>
                <c:pt idx="7">
                  <c:v>28.681900024000001</c:v>
                </c:pt>
                <c:pt idx="8">
                  <c:v>29.590999603</c:v>
                </c:pt>
                <c:pt idx="9">
                  <c:v>30.271799088000002</c:v>
                </c:pt>
                <c:pt idx="10">
                  <c:v>30.323099136</c:v>
                </c:pt>
                <c:pt idx="11">
                  <c:v>30.329200745000001</c:v>
                </c:pt>
                <c:pt idx="12">
                  <c:v>30.333599091</c:v>
                </c:pt>
                <c:pt idx="13">
                  <c:v>30.337099075000001</c:v>
                </c:pt>
                <c:pt idx="14">
                  <c:v>30.340000152999998</c:v>
                </c:pt>
                <c:pt idx="15">
                  <c:v>30.342599869000001</c:v>
                </c:pt>
                <c:pt idx="16">
                  <c:v>30.344900130999999</c:v>
                </c:pt>
                <c:pt idx="17">
                  <c:v>30.347099304</c:v>
                </c:pt>
                <c:pt idx="18">
                  <c:v>30.349000930999999</c:v>
                </c:pt>
                <c:pt idx="19">
                  <c:v>30.35090065</c:v>
                </c:pt>
                <c:pt idx="20">
                  <c:v>30.351499557</c:v>
                </c:pt>
                <c:pt idx="21">
                  <c:v>30.351900100999998</c:v>
                </c:pt>
                <c:pt idx="22">
                  <c:v>30.352300644</c:v>
                </c:pt>
                <c:pt idx="23">
                  <c:v>30.352600098</c:v>
                </c:pt>
                <c:pt idx="24">
                  <c:v>30.353000641000001</c:v>
                </c:pt>
                <c:pt idx="25">
                  <c:v>30.353300095000002</c:v>
                </c:pt>
                <c:pt idx="26">
                  <c:v>30.353599547999998</c:v>
                </c:pt>
                <c:pt idx="27">
                  <c:v>30.353900909</c:v>
                </c:pt>
                <c:pt idx="28">
                  <c:v>30.354099273999999</c:v>
                </c:pt>
                <c:pt idx="29">
                  <c:v>30.354400635000001</c:v>
                </c:pt>
                <c:pt idx="30">
                  <c:v>30.354600906000002</c:v>
                </c:pt>
                <c:pt idx="31">
                  <c:v>30.354799271000001</c:v>
                </c:pt>
                <c:pt idx="32">
                  <c:v>30.355100631999999</c:v>
                </c:pt>
                <c:pt idx="33">
                  <c:v>30.355300903</c:v>
                </c:pt>
                <c:pt idx="34">
                  <c:v>30.355499267999999</c:v>
                </c:pt>
                <c:pt idx="35">
                  <c:v>30.355699539</c:v>
                </c:pt>
                <c:pt idx="36">
                  <c:v>30.355899811</c:v>
                </c:pt>
                <c:pt idx="37">
                  <c:v>30.356000900000002</c:v>
                </c:pt>
                <c:pt idx="38">
                  <c:v>30.356199265000001</c:v>
                </c:pt>
                <c:pt idx="39">
                  <c:v>30.356399536000001</c:v>
                </c:pt>
                <c:pt idx="40">
                  <c:v>30.356500625999999</c:v>
                </c:pt>
                <c:pt idx="41">
                  <c:v>30.356700897</c:v>
                </c:pt>
                <c:pt idx="42">
                  <c:v>30.356800078999999</c:v>
                </c:pt>
                <c:pt idx="43">
                  <c:v>30.357000351</c:v>
                </c:pt>
                <c:pt idx="44">
                  <c:v>30.357099533</c:v>
                </c:pt>
                <c:pt idx="45">
                  <c:v>30.357200623000001</c:v>
                </c:pt>
                <c:pt idx="46">
                  <c:v>30.357299805</c:v>
                </c:pt>
                <c:pt idx="47">
                  <c:v>30.357500076000001</c:v>
                </c:pt>
                <c:pt idx="48">
                  <c:v>30.357599258</c:v>
                </c:pt>
                <c:pt idx="49">
                  <c:v>30.357700348000002</c:v>
                </c:pt>
                <c:pt idx="50">
                  <c:v>30.357799530000001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E4-7F4E-A2F3-9F3740047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275680"/>
        <c:axId val="1086461824"/>
      </c:scatterChart>
      <c:valAx>
        <c:axId val="1087275680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461824"/>
        <c:crosses val="autoZero"/>
        <c:crossBetween val="midCat"/>
      </c:valAx>
      <c:valAx>
        <c:axId val="10864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727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PlastPerfPlaneStress!$C$3:$C$31</c:f>
              <c:numCache>
                <c:formatCode>0.00000</c:formatCode>
                <c:ptCount val="2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</c:numCache>
            </c:numRef>
          </c:xVal>
          <c:yVal>
            <c:numRef>
              <c:f>PlastPerfPlaneStress!$D$3:$D$31</c:f>
              <c:numCache>
                <c:formatCode>0.00000</c:formatCode>
                <c:ptCount val="29"/>
                <c:pt idx="0">
                  <c:v>0</c:v>
                </c:pt>
                <c:pt idx="1">
                  <c:v>1.0905800000000001</c:v>
                </c:pt>
                <c:pt idx="2">
                  <c:v>2.0500600000000002</c:v>
                </c:pt>
                <c:pt idx="3">
                  <c:v>2.43066</c:v>
                </c:pt>
                <c:pt idx="4">
                  <c:v>2.4631699999999999</c:v>
                </c:pt>
                <c:pt idx="5">
                  <c:v>2.48584</c:v>
                </c:pt>
                <c:pt idx="6">
                  <c:v>2.5047799999999998</c:v>
                </c:pt>
                <c:pt idx="7">
                  <c:v>2.5208699999999999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7-8F4F-99A4-94B7FAB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275680"/>
        <c:axId val="1086461824"/>
      </c:scatterChart>
      <c:valAx>
        <c:axId val="1087275680"/>
        <c:scaling>
          <c:orientation val="minMax"/>
          <c:max val="0.140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461824"/>
        <c:crosses val="autoZero"/>
        <c:crossBetween val="midCat"/>
      </c:valAx>
      <c:valAx>
        <c:axId val="10864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727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1</xdr:row>
      <xdr:rowOff>91440</xdr:rowOff>
    </xdr:from>
    <xdr:to>
      <xdr:col>8</xdr:col>
      <xdr:colOff>579120</xdr:colOff>
      <xdr:row>16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B44EEE-A6E1-4FBE-B9DF-53F8A5671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22860</xdr:colOff>
      <xdr:row>18</xdr:row>
      <xdr:rowOff>30480</xdr:rowOff>
    </xdr:from>
    <xdr:to>
      <xdr:col>12</xdr:col>
      <xdr:colOff>119996</xdr:colOff>
      <xdr:row>38</xdr:row>
      <xdr:rowOff>152400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EBDC7F0-E49A-42A7-BA2C-E50EF6C56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80460" y="3322320"/>
          <a:ext cx="3754736" cy="3779520"/>
        </a:xfrm>
        <a:prstGeom prst="rect">
          <a:avLst/>
        </a:prstGeom>
      </xdr:spPr>
    </xdr:pic>
    <xdr:clientData/>
  </xdr:twoCellAnchor>
  <xdr:twoCellAnchor>
    <xdr:from>
      <xdr:col>9</xdr:col>
      <xdr:colOff>30480</xdr:colOff>
      <xdr:row>1</xdr:row>
      <xdr:rowOff>91440</xdr:rowOff>
    </xdr:from>
    <xdr:to>
      <xdr:col>16</xdr:col>
      <xdr:colOff>548640</xdr:colOff>
      <xdr:row>16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FFCB09-9756-4FD5-9058-11AC3D25E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213360</xdr:colOff>
      <xdr:row>1</xdr:row>
      <xdr:rowOff>91440</xdr:rowOff>
    </xdr:from>
    <xdr:to>
      <xdr:col>24</xdr:col>
      <xdr:colOff>518160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EB318DA-86C3-4FCE-BAF2-F01F19577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45720</xdr:colOff>
      <xdr:row>18</xdr:row>
      <xdr:rowOff>30480</xdr:rowOff>
    </xdr:from>
    <xdr:to>
      <xdr:col>30</xdr:col>
      <xdr:colOff>149720</xdr:colOff>
      <xdr:row>22</xdr:row>
      <xdr:rowOff>127531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36E7963-B048-7569-02F5-189394FA0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37720" y="3322320"/>
          <a:ext cx="6200000" cy="828571"/>
        </a:xfrm>
        <a:prstGeom prst="rect">
          <a:avLst/>
        </a:prstGeom>
      </xdr:spPr>
    </xdr:pic>
    <xdr:clientData/>
  </xdr:twoCellAnchor>
  <xdr:twoCellAnchor>
    <xdr:from>
      <xdr:col>25</xdr:col>
      <xdr:colOff>53340</xdr:colOff>
      <xdr:row>1</xdr:row>
      <xdr:rowOff>91440</xdr:rowOff>
    </xdr:from>
    <xdr:to>
      <xdr:col>32</xdr:col>
      <xdr:colOff>358140</xdr:colOff>
      <xdr:row>16</xdr:row>
      <xdr:rowOff>91440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7E40645-A713-4DAD-A4CA-048F66721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22861</xdr:colOff>
      <xdr:row>1</xdr:row>
      <xdr:rowOff>22860</xdr:rowOff>
    </xdr:from>
    <xdr:to>
      <xdr:col>17</xdr:col>
      <xdr:colOff>119997</xdr:colOff>
      <xdr:row>21</xdr:row>
      <xdr:rowOff>144780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114819-B3DF-00FB-FB94-454AD91BF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8461" y="205740"/>
          <a:ext cx="3754736" cy="3779520"/>
        </a:xfrm>
        <a:prstGeom prst="rect">
          <a:avLst/>
        </a:prstGeom>
      </xdr:spPr>
    </xdr:pic>
    <xdr:clientData/>
  </xdr:twoCellAnchor>
  <xdr:twoCellAnchor>
    <xdr:from>
      <xdr:col>11</xdr:col>
      <xdr:colOff>30480</xdr:colOff>
      <xdr:row>23</xdr:row>
      <xdr:rowOff>15240</xdr:rowOff>
    </xdr:from>
    <xdr:to>
      <xdr:col>18</xdr:col>
      <xdr:colOff>548640</xdr:colOff>
      <xdr:row>38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FDA6EE-102F-4E6C-88BF-A78C43500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23</xdr:row>
      <xdr:rowOff>0</xdr:rowOff>
    </xdr:from>
    <xdr:to>
      <xdr:col>27</xdr:col>
      <xdr:colOff>518160</xdr:colOff>
      <xdr:row>38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DA5E069-424E-42D8-BE9B-CD838A73A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2</xdr:row>
      <xdr:rowOff>38100</xdr:rowOff>
    </xdr:from>
    <xdr:to>
      <xdr:col>20</xdr:col>
      <xdr:colOff>556260</xdr:colOff>
      <xdr:row>17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C6CB10-E04A-434A-B4D8-6E0AF452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7620</xdr:colOff>
      <xdr:row>2</xdr:row>
      <xdr:rowOff>30480</xdr:rowOff>
    </xdr:from>
    <xdr:to>
      <xdr:col>29</xdr:col>
      <xdr:colOff>525780</xdr:colOff>
      <xdr:row>17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BD894C-8D19-4F42-AE62-044AA3E98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3</xdr:row>
      <xdr:rowOff>11430</xdr:rowOff>
    </xdr:from>
    <xdr:to>
      <xdr:col>13</xdr:col>
      <xdr:colOff>312420</xdr:colOff>
      <xdr:row>18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668AC-F394-438E-A86B-7666ED8BB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60960</xdr:colOff>
      <xdr:row>14</xdr:row>
      <xdr:rowOff>57150</xdr:rowOff>
    </xdr:from>
    <xdr:to>
      <xdr:col>24</xdr:col>
      <xdr:colOff>342900</xdr:colOff>
      <xdr:row>29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44E14F-3E7C-717F-88EE-DB74D4581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</xdr:colOff>
      <xdr:row>1</xdr:row>
      <xdr:rowOff>26670</xdr:rowOff>
    </xdr:from>
    <xdr:to>
      <xdr:col>22</xdr:col>
      <xdr:colOff>320040</xdr:colOff>
      <xdr:row>16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47EE33-4427-4A35-8F63-7E61DAF94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20</xdr:row>
      <xdr:rowOff>15240</xdr:rowOff>
    </xdr:from>
    <xdr:to>
      <xdr:col>15</xdr:col>
      <xdr:colOff>297180</xdr:colOff>
      <xdr:row>35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331961-C0AB-4F22-B582-7D7DEB200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0</xdr:rowOff>
    </xdr:from>
    <xdr:to>
      <xdr:col>12</xdr:col>
      <xdr:colOff>25400</xdr:colOff>
      <xdr:row>19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C04DBC-7D5E-1C41-A265-0EEBDED32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0</xdr:rowOff>
    </xdr:from>
    <xdr:to>
      <xdr:col>12</xdr:col>
      <xdr:colOff>25400</xdr:colOff>
      <xdr:row>19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515221-6FF0-79CD-65B7-B8EE2FE9E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ntileverPlast" connectionId="1" xr16:uid="{17E8794F-80D0-8E46-B8D7-85A6EE8616C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fPlate_1" connectionId="3" xr16:uid="{18092E10-0E51-4A4D-8473-B7F6E375112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af_1" connectionId="2" xr16:uid="{B1F8DDD4-56D1-3E43-ADFB-19527524C1E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Plate" connectionId="4" xr16:uid="{4FE6EDCB-A9AE-3345-B7EC-6651BFA7AA0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8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EDA1-C9BD-4BDC-A662-2B03A265E79E}">
  <dimension ref="B2:AG17"/>
  <sheetViews>
    <sheetView workbookViewId="0">
      <selection activeCell="AG22" sqref="AG22"/>
    </sheetView>
  </sheetViews>
  <sheetFormatPr baseColWidth="10" defaultColWidth="8.83203125" defaultRowHeight="15" x14ac:dyDescent="0.2"/>
  <sheetData>
    <row r="2" spans="2:33" x14ac:dyDescent="0.2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2:3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2:3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2:33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2:33" x14ac:dyDescent="0.2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2:33" x14ac:dyDescent="0.2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2:33" x14ac:dyDescent="0.2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2:33" x14ac:dyDescent="0.2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2:33" x14ac:dyDescent="0.2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2:33" x14ac:dyDescent="0.2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2:33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2:33" x14ac:dyDescent="0.2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2:33" x14ac:dyDescent="0.2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2:33" x14ac:dyDescent="0.2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2:33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2:33" x14ac:dyDescent="0.2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</sheetData>
  <mergeCells count="3">
    <mergeCell ref="B2:I17"/>
    <mergeCell ref="J2:Q17"/>
    <mergeCell ref="R2:AG1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26CA-1D0F-1F4E-AE9D-31123DAD73AF}">
  <dimension ref="A1"/>
  <sheetViews>
    <sheetView workbookViewId="0"/>
  </sheetViews>
  <sheetFormatPr baseColWidth="10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D39B-8869-4AC7-BC03-F29D0867FCED}">
  <dimension ref="C2:V67"/>
  <sheetViews>
    <sheetView topLeftCell="A14" workbookViewId="0">
      <selection activeCell="J34" sqref="J34"/>
    </sheetView>
  </sheetViews>
  <sheetFormatPr baseColWidth="10" defaultColWidth="8.83203125" defaultRowHeight="15" x14ac:dyDescent="0.2"/>
  <cols>
    <col min="4" max="4" width="10.5" bestFit="1" customWidth="1"/>
  </cols>
  <sheetData>
    <row r="2" spans="3:8" x14ac:dyDescent="0.2">
      <c r="C2" s="12" t="s">
        <v>3</v>
      </c>
      <c r="D2" s="12"/>
      <c r="E2" s="12"/>
      <c r="F2" s="12" t="s">
        <v>3</v>
      </c>
      <c r="G2" s="12"/>
      <c r="H2" s="12"/>
    </row>
    <row r="3" spans="3:8" x14ac:dyDescent="0.2">
      <c r="C3" s="12" t="s">
        <v>4</v>
      </c>
      <c r="D3" s="12"/>
      <c r="E3" s="12"/>
      <c r="F3" s="12" t="s">
        <v>5</v>
      </c>
      <c r="G3" s="12"/>
      <c r="H3" s="12"/>
    </row>
    <row r="4" spans="3:8" x14ac:dyDescent="0.2">
      <c r="C4" t="s">
        <v>0</v>
      </c>
      <c r="D4" t="s">
        <v>1</v>
      </c>
      <c r="E4" t="s">
        <v>2</v>
      </c>
      <c r="F4" t="s">
        <v>0</v>
      </c>
      <c r="G4" t="s">
        <v>1</v>
      </c>
      <c r="H4" t="s">
        <v>2</v>
      </c>
    </row>
    <row r="5" spans="3:8" x14ac:dyDescent="0.2">
      <c r="C5" s="2">
        <v>0</v>
      </c>
      <c r="D5" s="2">
        <v>0</v>
      </c>
      <c r="E5">
        <v>0</v>
      </c>
      <c r="F5">
        <v>0</v>
      </c>
      <c r="G5">
        <v>0</v>
      </c>
      <c r="H5">
        <v>0</v>
      </c>
    </row>
    <row r="6" spans="3:8" x14ac:dyDescent="0.2">
      <c r="C6" s="2">
        <v>0.1</v>
      </c>
      <c r="D6" s="2">
        <f>C6*100000000/(1000000000)</f>
        <v>0.01</v>
      </c>
      <c r="E6" s="1">
        <v>5.7777000000000002E-3</v>
      </c>
      <c r="F6" s="1">
        <v>0.1</v>
      </c>
      <c r="G6" s="2">
        <f>F6*100000000/(1000000000)</f>
        <v>0.01</v>
      </c>
      <c r="H6" s="1">
        <v>5.7778500000000002E-3</v>
      </c>
    </row>
    <row r="7" spans="3:8" x14ac:dyDescent="0.2">
      <c r="C7" s="2">
        <v>0.2</v>
      </c>
      <c r="D7" s="2">
        <f t="shared" ref="D7:D27" si="0">C7*100000000/(1000000000)</f>
        <v>0.02</v>
      </c>
      <c r="E7" s="1">
        <v>1.15554E-2</v>
      </c>
      <c r="F7" s="1">
        <v>0.2</v>
      </c>
      <c r="G7" s="2">
        <f t="shared" ref="G7:G24" si="1">F7*100000000/(1000000000)</f>
        <v>0.02</v>
      </c>
      <c r="H7" s="1">
        <v>1.15557E-2</v>
      </c>
    </row>
    <row r="8" spans="3:8" x14ac:dyDescent="0.2">
      <c r="C8" s="2">
        <v>0.3</v>
      </c>
      <c r="D8" s="2">
        <f t="shared" si="0"/>
        <v>0.03</v>
      </c>
      <c r="E8" s="1">
        <v>1.7333100000000001E-2</v>
      </c>
      <c r="F8" s="1">
        <v>0.3</v>
      </c>
      <c r="G8" s="2">
        <f t="shared" si="1"/>
        <v>0.03</v>
      </c>
      <c r="H8" s="1">
        <v>1.7333600000000001E-2</v>
      </c>
    </row>
    <row r="9" spans="3:8" x14ac:dyDescent="0.2">
      <c r="C9" s="2">
        <v>0.4</v>
      </c>
      <c r="D9" s="2">
        <f t="shared" si="0"/>
        <v>0.04</v>
      </c>
      <c r="E9" s="1">
        <v>2.3110800000000001E-2</v>
      </c>
      <c r="F9" s="1">
        <v>0.4</v>
      </c>
      <c r="G9" s="2">
        <f t="shared" si="1"/>
        <v>0.04</v>
      </c>
      <c r="H9" s="1">
        <v>2.3111400000000001E-2</v>
      </c>
    </row>
    <row r="10" spans="3:8" x14ac:dyDescent="0.2">
      <c r="C10" s="2">
        <v>0.5</v>
      </c>
      <c r="D10" s="2">
        <f t="shared" si="0"/>
        <v>0.05</v>
      </c>
      <c r="E10" s="1">
        <v>2.8888500000000001E-2</v>
      </c>
      <c r="F10" s="1">
        <v>0.5</v>
      </c>
      <c r="G10" s="2">
        <f t="shared" si="1"/>
        <v>0.05</v>
      </c>
      <c r="H10" s="1">
        <v>2.88893E-2</v>
      </c>
    </row>
    <row r="11" spans="3:8" x14ac:dyDescent="0.2">
      <c r="C11" s="2">
        <v>0.6</v>
      </c>
      <c r="D11" s="2">
        <f t="shared" si="0"/>
        <v>0.06</v>
      </c>
      <c r="E11" s="1">
        <v>3.4666200000000001E-2</v>
      </c>
      <c r="F11" s="1">
        <v>0.6</v>
      </c>
      <c r="G11" s="2">
        <f t="shared" si="1"/>
        <v>0.06</v>
      </c>
      <c r="H11" s="1">
        <v>3.4667099999999999E-2</v>
      </c>
    </row>
    <row r="12" spans="3:8" x14ac:dyDescent="0.2">
      <c r="C12" s="2">
        <v>0.7</v>
      </c>
      <c r="D12" s="2">
        <f t="shared" si="0"/>
        <v>7.0000000000000007E-2</v>
      </c>
      <c r="E12" s="1">
        <v>4.0443899999999998E-2</v>
      </c>
      <c r="F12" s="1">
        <v>0.7</v>
      </c>
      <c r="G12" s="2">
        <f t="shared" si="1"/>
        <v>7.0000000000000007E-2</v>
      </c>
      <c r="H12" s="1">
        <v>4.0445000000000002E-2</v>
      </c>
    </row>
    <row r="13" spans="3:8" x14ac:dyDescent="0.2">
      <c r="C13" s="2">
        <v>0.8</v>
      </c>
      <c r="D13" s="2">
        <f t="shared" si="0"/>
        <v>0.08</v>
      </c>
      <c r="E13" s="1">
        <v>4.6221600000000002E-2</v>
      </c>
      <c r="F13" s="1">
        <v>0.8</v>
      </c>
      <c r="G13" s="2">
        <f t="shared" si="1"/>
        <v>0.08</v>
      </c>
      <c r="H13" s="1">
        <v>4.6222800000000001E-2</v>
      </c>
    </row>
    <row r="14" spans="3:8" x14ac:dyDescent="0.2">
      <c r="C14" s="2">
        <v>0.9</v>
      </c>
      <c r="D14" s="2">
        <f t="shared" si="0"/>
        <v>0.09</v>
      </c>
      <c r="E14" s="1">
        <v>5.1999299999999998E-2</v>
      </c>
      <c r="F14" s="1">
        <v>0.9</v>
      </c>
      <c r="G14" s="2">
        <f t="shared" si="1"/>
        <v>0.09</v>
      </c>
      <c r="H14" s="1">
        <v>5.2000699999999997E-2</v>
      </c>
    </row>
    <row r="15" spans="3:8" x14ac:dyDescent="0.2">
      <c r="C15" s="2">
        <v>1</v>
      </c>
      <c r="D15" s="2">
        <f t="shared" si="0"/>
        <v>0.1</v>
      </c>
      <c r="E15" s="1">
        <v>5.7777000000000002E-2</v>
      </c>
      <c r="F15" s="1">
        <v>1</v>
      </c>
      <c r="G15" s="2">
        <f t="shared" si="1"/>
        <v>0.1</v>
      </c>
      <c r="H15" s="1">
        <v>5.7778499999999997E-2</v>
      </c>
    </row>
    <row r="16" spans="3:8" x14ac:dyDescent="0.2">
      <c r="C16" s="2">
        <v>1.1000000000000001</v>
      </c>
      <c r="D16" s="2">
        <f t="shared" si="0"/>
        <v>0.11000000000000001</v>
      </c>
      <c r="E16" s="1">
        <v>6.3716599999999998E-2</v>
      </c>
      <c r="F16" s="1">
        <v>1.1000000000000001</v>
      </c>
      <c r="G16" s="2">
        <f t="shared" si="1"/>
        <v>0.11000000000000001</v>
      </c>
      <c r="H16" s="1">
        <v>6.3631499999999994E-2</v>
      </c>
    </row>
    <row r="17" spans="3:10" x14ac:dyDescent="0.2">
      <c r="C17" s="2">
        <v>1.2</v>
      </c>
      <c r="D17" s="2">
        <f t="shared" si="0"/>
        <v>0.12</v>
      </c>
      <c r="E17" s="1">
        <v>7.0479700000000006E-2</v>
      </c>
      <c r="F17" s="1">
        <v>1.2</v>
      </c>
      <c r="G17" s="2">
        <f t="shared" si="1"/>
        <v>0.12</v>
      </c>
      <c r="H17" s="1">
        <v>7.0450600000000002E-2</v>
      </c>
    </row>
    <row r="18" spans="3:10" x14ac:dyDescent="0.2">
      <c r="C18" s="2">
        <v>1.3</v>
      </c>
      <c r="D18" s="2">
        <f t="shared" si="0"/>
        <v>0.13</v>
      </c>
      <c r="E18" s="1">
        <v>7.8159500000000007E-2</v>
      </c>
      <c r="F18" s="1">
        <v>1.3</v>
      </c>
      <c r="G18" s="2">
        <f t="shared" si="1"/>
        <v>0.13</v>
      </c>
      <c r="H18" s="1">
        <v>7.8129799999999999E-2</v>
      </c>
    </row>
    <row r="19" spans="3:10" x14ac:dyDescent="0.2">
      <c r="C19" s="2">
        <v>1.4</v>
      </c>
      <c r="D19" s="2">
        <f t="shared" si="0"/>
        <v>0.14000000000000001</v>
      </c>
      <c r="E19" s="1">
        <v>8.7347999999999995E-2</v>
      </c>
      <c r="F19" s="1">
        <v>1.4</v>
      </c>
      <c r="G19" s="2">
        <f t="shared" si="1"/>
        <v>0.14000000000000001</v>
      </c>
      <c r="H19" s="1">
        <v>8.7329199999999996E-2</v>
      </c>
    </row>
    <row r="20" spans="3:10" x14ac:dyDescent="0.2">
      <c r="C20" s="2">
        <v>1.5</v>
      </c>
      <c r="D20" s="2">
        <f t="shared" si="0"/>
        <v>0.15</v>
      </c>
      <c r="E20" s="1">
        <v>9.8205500000000001E-2</v>
      </c>
      <c r="F20" s="1">
        <v>1.5</v>
      </c>
      <c r="G20" s="2">
        <f t="shared" si="1"/>
        <v>0.15</v>
      </c>
      <c r="H20" s="1">
        <v>9.8109299999999997E-2</v>
      </c>
    </row>
    <row r="21" spans="3:10" x14ac:dyDescent="0.2">
      <c r="C21" s="2">
        <v>1.6</v>
      </c>
      <c r="D21" s="2">
        <f t="shared" si="0"/>
        <v>0.16</v>
      </c>
      <c r="E21" s="1">
        <v>0.111613</v>
      </c>
      <c r="F21" s="1">
        <v>1.6</v>
      </c>
      <c r="G21" s="2">
        <f t="shared" si="1"/>
        <v>0.16</v>
      </c>
      <c r="H21" s="1">
        <v>0.111625</v>
      </c>
    </row>
    <row r="22" spans="3:10" x14ac:dyDescent="0.2">
      <c r="C22" s="2">
        <v>1.7</v>
      </c>
      <c r="D22" s="2">
        <f t="shared" si="0"/>
        <v>0.17</v>
      </c>
      <c r="E22" s="1">
        <v>0.12906999999999999</v>
      </c>
      <c r="F22" s="1">
        <v>1.7</v>
      </c>
      <c r="G22" s="2">
        <f t="shared" si="1"/>
        <v>0.17</v>
      </c>
      <c r="H22" s="1">
        <v>0.12892999999999999</v>
      </c>
    </row>
    <row r="23" spans="3:10" x14ac:dyDescent="0.2">
      <c r="C23" s="2">
        <v>1.8</v>
      </c>
      <c r="D23" s="2">
        <f t="shared" si="0"/>
        <v>0.18</v>
      </c>
      <c r="E23" s="1">
        <v>0.15357599999999999</v>
      </c>
      <c r="F23" s="1">
        <v>1.8</v>
      </c>
      <c r="G23" s="2">
        <f t="shared" si="1"/>
        <v>0.18</v>
      </c>
      <c r="H23" s="1">
        <v>0.15381</v>
      </c>
    </row>
    <row r="24" spans="3:10" x14ac:dyDescent="0.2">
      <c r="C24" s="2">
        <v>1.9</v>
      </c>
      <c r="D24" s="2">
        <f t="shared" si="0"/>
        <v>0.19</v>
      </c>
      <c r="E24" s="1">
        <v>0.20106499999999999</v>
      </c>
      <c r="F24" s="1">
        <v>1.9</v>
      </c>
      <c r="G24" s="2">
        <f t="shared" si="1"/>
        <v>0.19</v>
      </c>
      <c r="H24" s="1">
        <v>0.20435800000000001</v>
      </c>
    </row>
    <row r="25" spans="3:10" x14ac:dyDescent="0.2">
      <c r="C25" s="2">
        <v>2</v>
      </c>
      <c r="D25" s="2">
        <f t="shared" si="0"/>
        <v>0.2</v>
      </c>
      <c r="E25" s="1">
        <v>1144.49</v>
      </c>
      <c r="F25" s="1"/>
      <c r="G25" s="1"/>
      <c r="H25" s="1"/>
      <c r="I25" s="1"/>
      <c r="J25" s="1"/>
    </row>
    <row r="26" spans="3:10" x14ac:dyDescent="0.2">
      <c r="C26" s="2">
        <v>2.1</v>
      </c>
      <c r="D26" s="2">
        <f t="shared" si="0"/>
        <v>0.21</v>
      </c>
      <c r="E26" s="1">
        <v>2428.3200000000002</v>
      </c>
      <c r="F26" s="1"/>
      <c r="G26" s="1"/>
      <c r="H26" s="1"/>
      <c r="I26" s="1"/>
      <c r="J26" s="1"/>
    </row>
    <row r="27" spans="3:10" x14ac:dyDescent="0.2">
      <c r="C27" s="2">
        <v>2.2000000000000002</v>
      </c>
      <c r="D27" s="2">
        <f t="shared" si="0"/>
        <v>0.22000000000000003</v>
      </c>
      <c r="E27" s="1">
        <v>3661.9</v>
      </c>
      <c r="F27" s="1"/>
      <c r="G27" s="1"/>
      <c r="H27" s="1"/>
      <c r="I27" s="1"/>
      <c r="J27" s="1"/>
    </row>
    <row r="29" spans="3:10" x14ac:dyDescent="0.2">
      <c r="C29" s="12" t="s">
        <v>3</v>
      </c>
      <c r="D29" s="12"/>
      <c r="E29" s="12"/>
      <c r="F29" s="12" t="s">
        <v>3</v>
      </c>
      <c r="G29" s="12"/>
      <c r="H29" s="12"/>
    </row>
    <row r="30" spans="3:10" x14ac:dyDescent="0.2">
      <c r="C30" s="12" t="s">
        <v>6</v>
      </c>
      <c r="D30" s="12"/>
      <c r="E30" s="12"/>
      <c r="F30" s="12" t="s">
        <v>7</v>
      </c>
      <c r="G30" s="12"/>
      <c r="H30" s="12"/>
    </row>
    <row r="31" spans="3:10" x14ac:dyDescent="0.2">
      <c r="C31" t="s">
        <v>0</v>
      </c>
      <c r="D31" t="s">
        <v>1</v>
      </c>
      <c r="E31" t="s">
        <v>2</v>
      </c>
      <c r="F31" t="s">
        <v>0</v>
      </c>
      <c r="G31" t="s">
        <v>1</v>
      </c>
      <c r="H31" t="s">
        <v>2</v>
      </c>
    </row>
    <row r="32" spans="3:10" x14ac:dyDescent="0.2">
      <c r="C32" s="2">
        <v>0</v>
      </c>
      <c r="D32" s="2">
        <v>0</v>
      </c>
      <c r="E32">
        <v>0</v>
      </c>
      <c r="F32">
        <v>0</v>
      </c>
      <c r="G32">
        <v>0</v>
      </c>
      <c r="H32">
        <f>I32*1000</f>
        <v>0</v>
      </c>
      <c r="I32">
        <v>0</v>
      </c>
    </row>
    <row r="33" spans="3:21" x14ac:dyDescent="0.2">
      <c r="C33" s="1">
        <v>0.1</v>
      </c>
      <c r="D33" s="2">
        <f>C33*100000000/(1000000000)</f>
        <v>0.01</v>
      </c>
      <c r="E33" s="1">
        <v>5.7777000000000002E-3</v>
      </c>
      <c r="F33" s="2">
        <v>9.5999999999999992E-3</v>
      </c>
      <c r="G33" s="2">
        <v>9.5999999999999992E-3</v>
      </c>
      <c r="H33">
        <f t="shared" ref="H33:H39" si="2">I33*1000</f>
        <v>5.5467399999999997E-3</v>
      </c>
      <c r="I33" s="1">
        <v>5.54674E-6</v>
      </c>
    </row>
    <row r="34" spans="3:21" x14ac:dyDescent="0.2">
      <c r="C34" s="1">
        <v>0.32360699999999998</v>
      </c>
      <c r="D34" s="2">
        <f t="shared" ref="D34:D54" si="3">C34*100000000/(1000000000)</f>
        <v>3.2360699999999999E-2</v>
      </c>
      <c r="E34" s="1">
        <v>1.8696999999999998E-2</v>
      </c>
      <c r="F34" s="2">
        <v>3.1066300000000002E-2</v>
      </c>
      <c r="G34" s="2">
        <v>3.1066300000000002E-2</v>
      </c>
      <c r="H34">
        <f t="shared" si="2"/>
        <v>1.79496E-2</v>
      </c>
      <c r="I34" s="1">
        <v>1.7949599999999998E-5</v>
      </c>
    </row>
    <row r="35" spans="3:21" x14ac:dyDescent="0.2">
      <c r="C35" s="1">
        <v>0.82360699999999998</v>
      </c>
      <c r="D35" s="2">
        <f t="shared" si="3"/>
        <v>8.2360699999999995E-2</v>
      </c>
      <c r="E35" s="1">
        <v>4.7585599999999999E-2</v>
      </c>
      <c r="F35" s="2">
        <v>7.9066300000000006E-2</v>
      </c>
      <c r="G35" s="2">
        <v>7.9066300000000006E-2</v>
      </c>
      <c r="H35">
        <f t="shared" si="2"/>
        <v>4.5683299999999996E-2</v>
      </c>
      <c r="I35" s="1">
        <v>4.5683299999999997E-5</v>
      </c>
    </row>
    <row r="36" spans="3:21" x14ac:dyDescent="0.2">
      <c r="C36" s="1">
        <v>1.5959000000000001</v>
      </c>
      <c r="D36" s="2">
        <f t="shared" si="3"/>
        <v>0.15959000000000001</v>
      </c>
      <c r="E36" s="1">
        <v>0.111</v>
      </c>
      <c r="F36" s="2">
        <v>0.15659200000000001</v>
      </c>
      <c r="G36" s="2">
        <v>0.15659200000000001</v>
      </c>
      <c r="H36">
        <f t="shared" si="2"/>
        <v>0.106722</v>
      </c>
      <c r="I36" s="1">
        <v>1.06722E-4</v>
      </c>
    </row>
    <row r="37" spans="3:21" x14ac:dyDescent="0.2">
      <c r="C37" s="1">
        <v>1.8601799999999999</v>
      </c>
      <c r="D37" s="2">
        <f t="shared" si="3"/>
        <v>0.18601799999999999</v>
      </c>
      <c r="E37" s="1">
        <v>0.177284</v>
      </c>
      <c r="F37" s="2">
        <v>0.18455299999999999</v>
      </c>
      <c r="G37" s="2">
        <v>0.18455299999999999</v>
      </c>
      <c r="H37">
        <f t="shared" si="2"/>
        <v>0.17091299999999998</v>
      </c>
      <c r="I37" s="1">
        <v>1.7091299999999999E-4</v>
      </c>
    </row>
    <row r="38" spans="3:21" x14ac:dyDescent="0.2">
      <c r="C38" s="1">
        <v>1.9144300000000001</v>
      </c>
      <c r="D38" s="2">
        <f t="shared" si="3"/>
        <v>0.191443</v>
      </c>
      <c r="E38" s="1">
        <v>0.239034</v>
      </c>
      <c r="F38" s="2">
        <v>0.191382</v>
      </c>
      <c r="G38" s="2">
        <v>0.191382</v>
      </c>
      <c r="H38">
        <f t="shared" si="2"/>
        <v>0.23657999999999998</v>
      </c>
      <c r="I38" s="1">
        <v>2.3657999999999999E-4</v>
      </c>
    </row>
    <row r="39" spans="3:21" x14ac:dyDescent="0.2">
      <c r="C39" s="1">
        <v>1.9180299999999999</v>
      </c>
      <c r="D39" s="2">
        <f t="shared" si="3"/>
        <v>0.191803</v>
      </c>
      <c r="E39" s="1">
        <v>0.29883100000000001</v>
      </c>
      <c r="F39" s="1">
        <v>0.191746</v>
      </c>
      <c r="G39" s="1">
        <v>0.191746</v>
      </c>
      <c r="H39">
        <f t="shared" si="2"/>
        <v>0.29108999999999996</v>
      </c>
      <c r="I39" s="1">
        <v>2.9108999999999998E-4</v>
      </c>
    </row>
    <row r="40" spans="3:21" x14ac:dyDescent="0.2">
      <c r="C40" s="1">
        <v>1.91967</v>
      </c>
      <c r="D40" s="2">
        <f t="shared" si="3"/>
        <v>0.191967</v>
      </c>
      <c r="E40" s="1">
        <v>0.354101</v>
      </c>
      <c r="K40" t="s">
        <v>14</v>
      </c>
      <c r="L40">
        <v>100</v>
      </c>
      <c r="N40" s="12" t="s">
        <v>23</v>
      </c>
      <c r="O40" s="12"/>
      <c r="T40" s="12" t="s">
        <v>15</v>
      </c>
      <c r="U40" s="12"/>
    </row>
    <row r="41" spans="3:21" x14ac:dyDescent="0.2">
      <c r="C41" s="1">
        <v>1.9203300000000001</v>
      </c>
      <c r="D41" s="2">
        <f t="shared" si="3"/>
        <v>0.19203300000000001</v>
      </c>
      <c r="E41" s="1">
        <v>0.408252</v>
      </c>
      <c r="K41" t="s">
        <v>13</v>
      </c>
      <c r="L41">
        <v>200</v>
      </c>
      <c r="N41" t="s">
        <v>1</v>
      </c>
      <c r="O41" t="s">
        <v>2</v>
      </c>
      <c r="T41">
        <v>0</v>
      </c>
      <c r="U41">
        <v>0</v>
      </c>
    </row>
    <row r="42" spans="3:21" x14ac:dyDescent="0.2">
      <c r="C42" s="1">
        <v>1.92056</v>
      </c>
      <c r="D42" s="2">
        <f t="shared" si="3"/>
        <v>0.192056</v>
      </c>
      <c r="E42" s="1">
        <v>0.46226899999999999</v>
      </c>
      <c r="K42" t="s">
        <v>8</v>
      </c>
      <c r="L42">
        <v>210</v>
      </c>
      <c r="N42">
        <v>0</v>
      </c>
      <c r="O42">
        <v>0</v>
      </c>
      <c r="T42">
        <v>0.10019</v>
      </c>
      <c r="U42">
        <v>5.7447999999999999E-2</v>
      </c>
    </row>
    <row r="43" spans="3:21" x14ac:dyDescent="0.2">
      <c r="C43" s="1">
        <v>1.92062</v>
      </c>
      <c r="D43" s="2">
        <f t="shared" si="3"/>
        <v>0.19206200000000001</v>
      </c>
      <c r="E43" s="1">
        <v>0.51639199999999996</v>
      </c>
      <c r="K43" t="s">
        <v>9</v>
      </c>
      <c r="L43">
        <v>0.3</v>
      </c>
      <c r="N43">
        <v>2.5999999999999999E-2</v>
      </c>
      <c r="O43">
        <v>1.4999999999999999E-2</v>
      </c>
      <c r="T43">
        <v>0.12084</v>
      </c>
      <c r="U43">
        <v>7.1296999999999999E-2</v>
      </c>
    </row>
    <row r="44" spans="3:21" x14ac:dyDescent="0.2">
      <c r="C44" s="1">
        <v>1.92062</v>
      </c>
      <c r="D44" s="2">
        <f t="shared" si="3"/>
        <v>0.19206200000000001</v>
      </c>
      <c r="E44" s="1">
        <v>0.57065699999999997</v>
      </c>
      <c r="K44" t="s">
        <v>10</v>
      </c>
      <c r="L44">
        <v>0.24</v>
      </c>
      <c r="N44">
        <v>5.1999999999999998E-2</v>
      </c>
      <c r="O44">
        <v>0.03</v>
      </c>
      <c r="T44">
        <v>0.13996</v>
      </c>
      <c r="U44">
        <v>8.8084999999999997E-2</v>
      </c>
    </row>
    <row r="45" spans="3:21" x14ac:dyDescent="0.2">
      <c r="C45" s="1">
        <v>1.92059</v>
      </c>
      <c r="D45" s="2">
        <f t="shared" si="3"/>
        <v>0.19205900000000001</v>
      </c>
      <c r="E45" s="1">
        <v>0.62504899999999997</v>
      </c>
      <c r="K45" t="s">
        <v>11</v>
      </c>
      <c r="L45">
        <f>(L44/3^0.5)/2*(1-L40^2/L41^2)</f>
        <v>5.1961524227066319E-2</v>
      </c>
      <c r="N45">
        <v>7.7899999999999997E-2</v>
      </c>
      <c r="O45">
        <v>4.4999999999999998E-2</v>
      </c>
      <c r="T45">
        <v>0.16252</v>
      </c>
      <c r="U45">
        <v>0.11569</v>
      </c>
    </row>
    <row r="46" spans="3:21" x14ac:dyDescent="0.2">
      <c r="C46" s="1">
        <v>1.92056</v>
      </c>
      <c r="D46" s="2">
        <f t="shared" si="3"/>
        <v>0.192056</v>
      </c>
      <c r="E46" s="1">
        <v>0.67954700000000001</v>
      </c>
      <c r="K46" t="s">
        <v>12</v>
      </c>
      <c r="L46">
        <v>0.19209000000000001</v>
      </c>
      <c r="N46">
        <v>0.10390000000000001</v>
      </c>
      <c r="O46">
        <v>0.06</v>
      </c>
      <c r="T46">
        <v>0.18010999999999999</v>
      </c>
      <c r="U46">
        <v>0.15407999999999999</v>
      </c>
    </row>
    <row r="47" spans="3:21" x14ac:dyDescent="0.2">
      <c r="C47" s="1">
        <v>1.9205399999999999</v>
      </c>
      <c r="D47" s="2">
        <f t="shared" si="3"/>
        <v>0.192054</v>
      </c>
      <c r="E47" s="1">
        <v>0.73413700000000004</v>
      </c>
      <c r="N47">
        <v>0.10390000000000001</v>
      </c>
      <c r="O47">
        <v>0.06</v>
      </c>
      <c r="T47">
        <v>0.19006000000000001</v>
      </c>
      <c r="U47">
        <v>0.20813000000000001</v>
      </c>
    </row>
    <row r="48" spans="3:21" x14ac:dyDescent="0.2">
      <c r="C48" s="1">
        <v>1.9205099999999999</v>
      </c>
      <c r="D48" s="2">
        <f t="shared" si="3"/>
        <v>0.192051</v>
      </c>
      <c r="E48" s="1">
        <v>0.78880399999999995</v>
      </c>
      <c r="N48">
        <v>0.1231</v>
      </c>
      <c r="O48">
        <v>7.2700000000000001E-2</v>
      </c>
      <c r="T48">
        <v>0.19197</v>
      </c>
      <c r="U48">
        <v>0.58818000000000004</v>
      </c>
    </row>
    <row r="49" spans="3:22" x14ac:dyDescent="0.2">
      <c r="C49" s="1">
        <v>1.92049</v>
      </c>
      <c r="D49" s="2">
        <f t="shared" si="3"/>
        <v>0.192049</v>
      </c>
      <c r="E49" s="1">
        <v>0.84353800000000001</v>
      </c>
      <c r="N49">
        <v>0.13919999999999999</v>
      </c>
      <c r="O49">
        <v>8.6499999999999994E-2</v>
      </c>
    </row>
    <row r="50" spans="3:22" x14ac:dyDescent="0.2">
      <c r="C50" s="1">
        <v>1.9204699999999999</v>
      </c>
      <c r="D50" s="2">
        <f t="shared" si="3"/>
        <v>0.192047</v>
      </c>
      <c r="E50" s="1">
        <v>0.89832999999999996</v>
      </c>
      <c r="N50">
        <v>0.1527</v>
      </c>
      <c r="O50">
        <v>0.10150000000000001</v>
      </c>
      <c r="T50" s="12" t="s">
        <v>21</v>
      </c>
      <c r="U50" s="12"/>
      <c r="V50" s="12"/>
    </row>
    <row r="51" spans="3:22" x14ac:dyDescent="0.2">
      <c r="C51" s="1">
        <v>1.9204600000000001</v>
      </c>
      <c r="D51" s="2">
        <f t="shared" si="3"/>
        <v>0.19204599999999999</v>
      </c>
      <c r="E51" s="1">
        <v>0.95317300000000005</v>
      </c>
      <c r="N51">
        <v>0.16389999999999999</v>
      </c>
      <c r="O51">
        <v>0.1177</v>
      </c>
      <c r="T51" t="s">
        <v>2</v>
      </c>
      <c r="U51" t="s">
        <v>0</v>
      </c>
      <c r="V51" t="s">
        <v>1</v>
      </c>
    </row>
    <row r="52" spans="3:22" x14ac:dyDescent="0.2">
      <c r="C52" s="1">
        <v>1.92045</v>
      </c>
      <c r="D52" s="2">
        <f t="shared" si="3"/>
        <v>0.19204499999999999</v>
      </c>
      <c r="E52" s="1">
        <v>1.00806</v>
      </c>
      <c r="F52" s="1"/>
      <c r="G52" s="1"/>
      <c r="H52" s="1"/>
      <c r="N52">
        <v>0.17299999999999999</v>
      </c>
      <c r="O52">
        <v>0.1351</v>
      </c>
      <c r="T52">
        <v>0</v>
      </c>
      <c r="U52">
        <v>0</v>
      </c>
      <c r="V52">
        <v>0</v>
      </c>
    </row>
    <row r="53" spans="3:22" x14ac:dyDescent="0.2">
      <c r="C53" s="1">
        <v>1.9204399999999999</v>
      </c>
      <c r="D53" s="2">
        <f t="shared" si="3"/>
        <v>0.19204399999999999</v>
      </c>
      <c r="E53" s="1">
        <v>1.0629900000000001</v>
      </c>
      <c r="F53" s="1"/>
      <c r="G53" s="1"/>
      <c r="H53" s="1"/>
      <c r="N53">
        <v>0.18010000000000001</v>
      </c>
      <c r="O53">
        <v>0.1537</v>
      </c>
      <c r="T53">
        <v>1.1565799999999999E-3</v>
      </c>
      <c r="U53">
        <v>0.02</v>
      </c>
      <c r="V53" s="2">
        <f>U53*100000000/(1000000000)</f>
        <v>2E-3</v>
      </c>
    </row>
    <row r="54" spans="3:22" x14ac:dyDescent="0.2">
      <c r="C54" s="1">
        <v>1.9204399999999999</v>
      </c>
      <c r="D54" s="2">
        <f t="shared" si="3"/>
        <v>0.19204399999999999</v>
      </c>
      <c r="E54" s="1">
        <v>1.11795</v>
      </c>
      <c r="F54" s="1"/>
      <c r="G54" s="1"/>
      <c r="H54" s="1"/>
      <c r="N54">
        <v>0.1855</v>
      </c>
      <c r="O54">
        <v>0.17349999999999999</v>
      </c>
      <c r="T54">
        <v>2.3131699999999998E-3</v>
      </c>
      <c r="U54">
        <v>3.9998800000000001E-2</v>
      </c>
      <c r="V54" s="2">
        <f t="shared" ref="V54:V67" si="4">U54*100000000/(1000000000)</f>
        <v>3.9998799999999999E-3</v>
      </c>
    </row>
    <row r="55" spans="3:22" x14ac:dyDescent="0.2">
      <c r="N55">
        <v>0.18920000000000001</v>
      </c>
      <c r="O55">
        <v>0.19450000000000001</v>
      </c>
      <c r="T55">
        <v>4.04806E-3</v>
      </c>
      <c r="U55">
        <v>6.9994899999999999E-2</v>
      </c>
      <c r="V55" s="2">
        <f t="shared" si="4"/>
        <v>6.9994899999999997E-3</v>
      </c>
    </row>
    <row r="56" spans="3:22" x14ac:dyDescent="0.2">
      <c r="N56">
        <v>0.19139999999999999</v>
      </c>
      <c r="O56">
        <v>0.21679999999999999</v>
      </c>
      <c r="T56">
        <v>6.6504099999999998E-3</v>
      </c>
      <c r="U56">
        <v>0.114984</v>
      </c>
      <c r="V56" s="2">
        <f t="shared" si="4"/>
        <v>1.1498400000000001E-2</v>
      </c>
    </row>
    <row r="57" spans="3:22" x14ac:dyDescent="0.2">
      <c r="N57">
        <v>0.19209999999999999</v>
      </c>
      <c r="O57">
        <v>0.2402</v>
      </c>
      <c r="T57">
        <v>1.0553999999999999E-2</v>
      </c>
      <c r="U57">
        <v>0.18245800000000001</v>
      </c>
      <c r="V57" s="2">
        <f t="shared" si="4"/>
        <v>1.82458E-2</v>
      </c>
    </row>
    <row r="58" spans="3:22" x14ac:dyDescent="0.2">
      <c r="N58">
        <v>0.19209999999999999</v>
      </c>
      <c r="O58">
        <v>1</v>
      </c>
      <c r="T58">
        <v>1.64095E-2</v>
      </c>
      <c r="U58">
        <v>0.28364400000000001</v>
      </c>
      <c r="V58" s="2">
        <f t="shared" si="4"/>
        <v>2.8364400000000001E-2</v>
      </c>
    </row>
    <row r="59" spans="3:22" x14ac:dyDescent="0.2">
      <c r="T59">
        <v>2.5193E-2</v>
      </c>
      <c r="U59">
        <v>0.43536999999999998</v>
      </c>
      <c r="V59" s="2">
        <f t="shared" si="4"/>
        <v>4.3536999999999999E-2</v>
      </c>
    </row>
    <row r="60" spans="3:22" x14ac:dyDescent="0.2">
      <c r="T60">
        <v>3.8368800000000002E-2</v>
      </c>
      <c r="U60">
        <v>0.66283899999999996</v>
      </c>
      <c r="V60" s="2">
        <f t="shared" si="4"/>
        <v>6.6283899999999993E-2</v>
      </c>
    </row>
    <row r="61" spans="3:22" x14ac:dyDescent="0.2">
      <c r="T61">
        <v>5.8135300000000001E-2</v>
      </c>
      <c r="U61">
        <v>1.00373</v>
      </c>
      <c r="V61" s="2">
        <f t="shared" si="4"/>
        <v>0.100373</v>
      </c>
    </row>
    <row r="62" spans="3:22" x14ac:dyDescent="0.2">
      <c r="T62">
        <v>8.7576399999999999E-2</v>
      </c>
      <c r="U62">
        <v>1.39977</v>
      </c>
      <c r="V62" s="2">
        <f t="shared" si="4"/>
        <v>0.13997699999999999</v>
      </c>
    </row>
    <row r="63" spans="3:22" x14ac:dyDescent="0.2">
      <c r="T63">
        <v>0.13022500000000001</v>
      </c>
      <c r="U63">
        <v>1.70048</v>
      </c>
      <c r="V63" s="2">
        <f t="shared" si="4"/>
        <v>0.170048</v>
      </c>
    </row>
    <row r="64" spans="3:22" x14ac:dyDescent="0.2">
      <c r="T64">
        <v>0.191222</v>
      </c>
      <c r="U64">
        <v>1.87547</v>
      </c>
      <c r="V64" s="2">
        <f t="shared" si="4"/>
        <v>0.18754699999999999</v>
      </c>
    </row>
    <row r="65" spans="20:22" x14ac:dyDescent="0.2">
      <c r="T65">
        <v>0.27909499999999998</v>
      </c>
      <c r="U65">
        <v>1.90554</v>
      </c>
      <c r="V65" s="2">
        <f t="shared" si="4"/>
        <v>0.190554</v>
      </c>
    </row>
    <row r="66" spans="20:22" x14ac:dyDescent="0.2">
      <c r="T66">
        <v>0.409549</v>
      </c>
      <c r="U66">
        <v>1.90364</v>
      </c>
      <c r="V66" s="2">
        <f t="shared" si="4"/>
        <v>0.19036400000000001</v>
      </c>
    </row>
    <row r="67" spans="20:22" x14ac:dyDescent="0.2">
      <c r="T67">
        <v>0.60467099999999996</v>
      </c>
      <c r="U67">
        <v>1.89703</v>
      </c>
      <c r="V67" s="2">
        <f t="shared" si="4"/>
        <v>0.18970300000000001</v>
      </c>
    </row>
  </sheetData>
  <mergeCells count="11">
    <mergeCell ref="T50:V50"/>
    <mergeCell ref="T40:U40"/>
    <mergeCell ref="C30:E30"/>
    <mergeCell ref="F30:H30"/>
    <mergeCell ref="N40:O40"/>
    <mergeCell ref="C2:E2"/>
    <mergeCell ref="C3:E3"/>
    <mergeCell ref="F2:H2"/>
    <mergeCell ref="F3:H3"/>
    <mergeCell ref="C29:E29"/>
    <mergeCell ref="F29:H2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09F6-F0E1-4E07-8007-8F37BEA70DDD}">
  <dimension ref="B3:X68"/>
  <sheetViews>
    <sheetView topLeftCell="M1" workbookViewId="0">
      <selection activeCell="AC20" sqref="AC20"/>
    </sheetView>
  </sheetViews>
  <sheetFormatPr baseColWidth="10" defaultColWidth="8.83203125" defaultRowHeight="15" x14ac:dyDescent="0.2"/>
  <sheetData>
    <row r="3" spans="2:12" x14ac:dyDescent="0.2">
      <c r="B3" s="12" t="s">
        <v>16</v>
      </c>
      <c r="C3" s="12"/>
      <c r="D3" s="12"/>
      <c r="E3" s="12"/>
      <c r="G3" s="12" t="s">
        <v>17</v>
      </c>
      <c r="H3" s="12"/>
      <c r="I3" s="12"/>
      <c r="J3" s="12"/>
      <c r="K3" s="12"/>
      <c r="L3" s="12"/>
    </row>
    <row r="4" spans="2:12" x14ac:dyDescent="0.2">
      <c r="B4" s="12" t="s">
        <v>2</v>
      </c>
      <c r="C4" s="12"/>
      <c r="D4" s="12" t="s">
        <v>1</v>
      </c>
      <c r="E4" s="12" t="s">
        <v>20</v>
      </c>
      <c r="G4" s="12" t="s">
        <v>18</v>
      </c>
      <c r="H4" s="12"/>
      <c r="I4" s="12"/>
      <c r="J4" s="12" t="s">
        <v>19</v>
      </c>
      <c r="K4" s="12"/>
      <c r="L4" s="12"/>
    </row>
    <row r="5" spans="2:12" x14ac:dyDescent="0.2">
      <c r="B5" t="s">
        <v>18</v>
      </c>
      <c r="C5" t="s">
        <v>19</v>
      </c>
      <c r="D5" s="12"/>
      <c r="E5" s="12"/>
      <c r="G5" t="s">
        <v>2</v>
      </c>
      <c r="H5" t="s">
        <v>20</v>
      </c>
      <c r="I5" t="s">
        <v>1</v>
      </c>
      <c r="J5" t="s">
        <v>2</v>
      </c>
      <c r="K5" t="s">
        <v>20</v>
      </c>
      <c r="L5" t="s">
        <v>1</v>
      </c>
    </row>
    <row r="6" spans="2:12" x14ac:dyDescent="0.2">
      <c r="B6">
        <v>0</v>
      </c>
      <c r="C6">
        <v>0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2" x14ac:dyDescent="0.2">
      <c r="B7" s="1">
        <v>2.1600500000000002E-3</v>
      </c>
      <c r="C7" s="1">
        <v>2.1599499999999999E-3</v>
      </c>
      <c r="D7" s="2">
        <f>E7*100000000/(1000000000)</f>
        <v>1.512E-2</v>
      </c>
      <c r="E7" s="1">
        <v>0.1512</v>
      </c>
      <c r="G7" s="1">
        <v>2.1600500000000002E-3</v>
      </c>
      <c r="H7" s="1">
        <v>0.1512</v>
      </c>
      <c r="I7" s="2">
        <f>H7*100000000/(1000000000)</f>
        <v>1.512E-2</v>
      </c>
      <c r="J7" s="1">
        <v>2.1599499999999999E-3</v>
      </c>
      <c r="K7" s="1">
        <v>0.1512</v>
      </c>
      <c r="L7" s="2">
        <f>K7*100000000/(1000000000)</f>
        <v>1.512E-2</v>
      </c>
    </row>
    <row r="8" spans="2:12" x14ac:dyDescent="0.2">
      <c r="B8" s="1">
        <v>4.3201000000000003E-3</v>
      </c>
      <c r="C8" s="1">
        <v>4.3198899999999998E-3</v>
      </c>
      <c r="D8" s="2">
        <f t="shared" ref="D8:D30" si="0">E8*100000000/(1000000000)</f>
        <v>3.024E-2</v>
      </c>
      <c r="E8" s="1">
        <v>0.3024</v>
      </c>
      <c r="G8" s="1">
        <v>6.9900600000000002E-3</v>
      </c>
      <c r="H8" s="1">
        <v>0.48929299999999998</v>
      </c>
      <c r="I8" s="2">
        <f t="shared" ref="I8:I36" si="1">H8*100000000/(1000000000)</f>
        <v>4.8929300000000002E-2</v>
      </c>
      <c r="J8" s="1">
        <v>6.9897300000000004E-3</v>
      </c>
      <c r="K8" s="1">
        <v>0.48929299999999998</v>
      </c>
      <c r="L8" s="2">
        <f t="shared" ref="L8:L36" si="2">K8*100000000/(1000000000)</f>
        <v>4.8929300000000002E-2</v>
      </c>
    </row>
    <row r="9" spans="2:12" x14ac:dyDescent="0.2">
      <c r="B9" s="1">
        <v>6.4801399999999997E-3</v>
      </c>
      <c r="C9" s="1">
        <v>6.4798399999999997E-3</v>
      </c>
      <c r="D9" s="2">
        <f t="shared" si="0"/>
        <v>4.5359999999999998E-2</v>
      </c>
      <c r="E9" s="1">
        <v>0.4536</v>
      </c>
      <c r="G9" s="1">
        <v>1.7790299999999998E-2</v>
      </c>
      <c r="H9" s="1">
        <v>1.24529</v>
      </c>
      <c r="I9" s="2">
        <f t="shared" si="1"/>
        <v>0.124529</v>
      </c>
      <c r="J9" s="1">
        <v>1.77895E-2</v>
      </c>
      <c r="K9" s="1">
        <v>1.24529</v>
      </c>
      <c r="L9" s="2">
        <f t="shared" si="2"/>
        <v>0.124529</v>
      </c>
    </row>
    <row r="10" spans="2:12" x14ac:dyDescent="0.2">
      <c r="B10" s="1">
        <v>8.6401900000000007E-3</v>
      </c>
      <c r="C10" s="1">
        <v>8.6397799999999997E-3</v>
      </c>
      <c r="D10" s="2">
        <f t="shared" si="0"/>
        <v>6.0479999999999999E-2</v>
      </c>
      <c r="E10" s="1">
        <v>0.6048</v>
      </c>
      <c r="G10" s="1">
        <v>4.07777E-2</v>
      </c>
      <c r="H10" s="1">
        <v>2.33352</v>
      </c>
      <c r="I10" s="2">
        <f t="shared" si="1"/>
        <v>0.233352</v>
      </c>
      <c r="J10" s="1">
        <v>4.0770800000000003E-2</v>
      </c>
      <c r="K10" s="1">
        <v>2.33264</v>
      </c>
      <c r="L10" s="2">
        <f t="shared" si="2"/>
        <v>0.233264</v>
      </c>
    </row>
    <row r="11" spans="2:12" x14ac:dyDescent="0.2">
      <c r="B11" s="1">
        <v>1.0800199999999999E-2</v>
      </c>
      <c r="C11" s="1">
        <v>1.0799700000000001E-2</v>
      </c>
      <c r="D11" s="2">
        <f t="shared" si="0"/>
        <v>7.5600000000000001E-2</v>
      </c>
      <c r="E11" s="1">
        <v>0.75600000000000001</v>
      </c>
      <c r="G11" s="1">
        <v>6.8113199999999999E-2</v>
      </c>
      <c r="H11" s="1">
        <v>2.8740399999999999</v>
      </c>
      <c r="I11" s="2">
        <f t="shared" si="1"/>
        <v>0.28740399999999999</v>
      </c>
      <c r="J11" s="1">
        <v>6.8123400000000001E-2</v>
      </c>
      <c r="K11" s="1">
        <v>2.8742000000000001</v>
      </c>
      <c r="L11" s="2">
        <f t="shared" si="2"/>
        <v>0.28742000000000001</v>
      </c>
    </row>
    <row r="12" spans="2:12" x14ac:dyDescent="0.2">
      <c r="B12" s="1">
        <v>1.2960299999999999E-2</v>
      </c>
      <c r="C12" s="1">
        <v>1.2959699999999999E-2</v>
      </c>
      <c r="D12" s="2">
        <f t="shared" si="0"/>
        <v>9.0719999999999995E-2</v>
      </c>
      <c r="E12" s="1">
        <v>0.90720000000000001</v>
      </c>
      <c r="G12" s="1">
        <v>9.7113099999999994E-2</v>
      </c>
      <c r="H12" s="1">
        <v>3.1482100000000002</v>
      </c>
      <c r="I12" s="2">
        <f t="shared" si="1"/>
        <v>0.31482100000000002</v>
      </c>
      <c r="J12" s="1">
        <v>9.7216999999999998E-2</v>
      </c>
      <c r="K12" s="1">
        <v>3.1497700000000002</v>
      </c>
      <c r="L12" s="2">
        <f t="shared" si="2"/>
        <v>0.31497700000000001</v>
      </c>
    </row>
    <row r="13" spans="2:12" x14ac:dyDescent="0.2">
      <c r="B13" s="1">
        <v>1.51203E-2</v>
      </c>
      <c r="C13" s="1">
        <v>1.51196E-2</v>
      </c>
      <c r="D13" s="2">
        <f t="shared" si="0"/>
        <v>0.10584</v>
      </c>
      <c r="E13" s="1">
        <v>1.0584</v>
      </c>
      <c r="G13" s="1">
        <v>0.127388</v>
      </c>
      <c r="H13" s="1">
        <v>3.2807300000000001</v>
      </c>
      <c r="I13" s="2">
        <f t="shared" si="1"/>
        <v>0.328073</v>
      </c>
      <c r="J13" s="1">
        <v>0.127724</v>
      </c>
      <c r="K13" s="1">
        <v>3.2803900000000001</v>
      </c>
      <c r="L13" s="2">
        <f t="shared" si="2"/>
        <v>0.32803900000000003</v>
      </c>
    </row>
    <row r="14" spans="2:12" x14ac:dyDescent="0.2">
      <c r="B14" s="1">
        <v>1.7280400000000001E-2</v>
      </c>
      <c r="C14" s="1">
        <v>1.7279599999999999E-2</v>
      </c>
      <c r="D14" s="2">
        <f t="shared" si="0"/>
        <v>0.12096</v>
      </c>
      <c r="E14" s="1">
        <v>1.2096</v>
      </c>
      <c r="G14" s="1">
        <v>0.15912799999999999</v>
      </c>
      <c r="H14" s="1">
        <v>3.3123800000000001</v>
      </c>
      <c r="I14" s="2">
        <f t="shared" si="1"/>
        <v>0.33123799999999998</v>
      </c>
      <c r="J14" s="1">
        <v>0.15958800000000001</v>
      </c>
      <c r="K14" s="1">
        <v>3.3127399999999998</v>
      </c>
      <c r="L14" s="2">
        <f t="shared" si="2"/>
        <v>0.33127400000000001</v>
      </c>
    </row>
    <row r="15" spans="2:12" x14ac:dyDescent="0.2">
      <c r="B15" s="1">
        <v>1.94404E-2</v>
      </c>
      <c r="C15" s="1">
        <v>1.9439499999999998E-2</v>
      </c>
      <c r="D15" s="2">
        <f t="shared" si="0"/>
        <v>0.13608000000000001</v>
      </c>
      <c r="E15" s="1">
        <v>1.3608</v>
      </c>
      <c r="G15" s="1">
        <v>0.19397300000000001</v>
      </c>
      <c r="H15" s="1">
        <v>3.3178999999999998</v>
      </c>
      <c r="I15" s="2">
        <f t="shared" si="1"/>
        <v>0.33178999999999997</v>
      </c>
      <c r="J15" s="1">
        <v>0.19091900000000001</v>
      </c>
      <c r="K15" s="1">
        <v>3.3174199999999998</v>
      </c>
      <c r="L15" s="2">
        <f t="shared" si="2"/>
        <v>0.33174199999999998</v>
      </c>
    </row>
    <row r="16" spans="2:12" x14ac:dyDescent="0.2">
      <c r="B16" s="1">
        <v>2.1600500000000002E-2</v>
      </c>
      <c r="C16" s="1">
        <v>2.16721E-2</v>
      </c>
      <c r="D16" s="2">
        <f t="shared" si="0"/>
        <v>0.1512</v>
      </c>
      <c r="E16" s="1">
        <v>1.512</v>
      </c>
      <c r="G16" s="1">
        <v>0.23375399999999999</v>
      </c>
      <c r="H16" s="1">
        <v>3.32009</v>
      </c>
      <c r="I16" s="2">
        <f t="shared" si="1"/>
        <v>0.332009</v>
      </c>
      <c r="J16" s="1">
        <v>0.22209200000000001</v>
      </c>
      <c r="K16" s="1">
        <v>3.3184399999999998</v>
      </c>
      <c r="L16" s="2">
        <f t="shared" si="2"/>
        <v>0.33184399999999997</v>
      </c>
    </row>
    <row r="17" spans="2:24" x14ac:dyDescent="0.2">
      <c r="B17" s="1">
        <v>2.4272700000000001E-2</v>
      </c>
      <c r="C17" s="1">
        <v>2.4204900000000001E-2</v>
      </c>
      <c r="D17" s="2">
        <f t="shared" si="0"/>
        <v>0.16632</v>
      </c>
      <c r="E17" s="1">
        <v>1.6632</v>
      </c>
      <c r="G17" s="1">
        <v>0.27241900000000002</v>
      </c>
      <c r="H17" s="1">
        <v>3.3201100000000001</v>
      </c>
      <c r="I17" s="2">
        <f t="shared" si="1"/>
        <v>0.332011</v>
      </c>
      <c r="J17" s="1">
        <v>0.25769199999999998</v>
      </c>
      <c r="K17" s="1">
        <v>3.3198699999999999</v>
      </c>
      <c r="L17" s="2">
        <f t="shared" si="2"/>
        <v>0.33198699999999998</v>
      </c>
    </row>
    <row r="18" spans="2:24" x14ac:dyDescent="0.2">
      <c r="B18" s="1">
        <v>2.7101799999999999E-2</v>
      </c>
      <c r="C18" s="1">
        <v>2.71507E-2</v>
      </c>
      <c r="D18" s="2">
        <f t="shared" si="0"/>
        <v>0.18143999999999999</v>
      </c>
      <c r="E18" s="1">
        <v>1.8144</v>
      </c>
      <c r="G18" s="1">
        <v>0.31130999999999998</v>
      </c>
      <c r="H18" s="1">
        <v>3.3200500000000002</v>
      </c>
      <c r="I18" s="2">
        <f t="shared" si="1"/>
        <v>0.33200499999999999</v>
      </c>
      <c r="J18" s="1">
        <v>0.292846</v>
      </c>
      <c r="K18" s="1">
        <v>3.32016</v>
      </c>
      <c r="L18" s="2">
        <f t="shared" si="2"/>
        <v>0.33201599999999998</v>
      </c>
    </row>
    <row r="19" spans="2:24" x14ac:dyDescent="0.2">
      <c r="B19" s="1">
        <v>3.0446999999999998E-2</v>
      </c>
      <c r="C19" s="1">
        <v>3.0517699999999998E-2</v>
      </c>
      <c r="D19" s="2">
        <f t="shared" si="0"/>
        <v>0.19656000000000001</v>
      </c>
      <c r="E19" s="1">
        <v>1.9656</v>
      </c>
      <c r="G19" s="1">
        <v>0.35021099999999999</v>
      </c>
      <c r="H19" s="1">
        <v>3.3199900000000002</v>
      </c>
      <c r="I19" s="2">
        <f t="shared" si="1"/>
        <v>0.33199899999999999</v>
      </c>
      <c r="J19" s="1">
        <v>0.328073</v>
      </c>
      <c r="K19" s="1">
        <v>3.3202400000000001</v>
      </c>
      <c r="L19" s="2">
        <f t="shared" si="2"/>
        <v>0.33202399999999999</v>
      </c>
      <c r="R19" s="12" t="s">
        <v>21</v>
      </c>
      <c r="S19" s="12"/>
      <c r="T19" s="12"/>
      <c r="W19" s="12" t="s">
        <v>23</v>
      </c>
      <c r="X19" s="12"/>
    </row>
    <row r="20" spans="2:24" x14ac:dyDescent="0.2">
      <c r="B20" s="1">
        <v>3.4516400000000003E-2</v>
      </c>
      <c r="C20" s="1">
        <v>3.44695E-2</v>
      </c>
      <c r="D20" s="2">
        <f t="shared" si="0"/>
        <v>0.21168000000000001</v>
      </c>
      <c r="E20" s="1">
        <v>2.1168</v>
      </c>
      <c r="G20" s="1">
        <v>0.38919500000000001</v>
      </c>
      <c r="H20" s="1">
        <v>3.3199900000000002</v>
      </c>
      <c r="I20" s="2">
        <f t="shared" si="1"/>
        <v>0.33199899999999999</v>
      </c>
      <c r="J20" s="1">
        <v>0.36327500000000001</v>
      </c>
      <c r="K20" s="1">
        <v>3.3202199999999999</v>
      </c>
      <c r="L20" s="2">
        <f t="shared" si="2"/>
        <v>0.33202199999999998</v>
      </c>
      <c r="O20" s="12" t="s">
        <v>15</v>
      </c>
      <c r="P20" s="12"/>
      <c r="R20" t="s">
        <v>22</v>
      </c>
      <c r="S20" t="s">
        <v>20</v>
      </c>
      <c r="T20" t="s">
        <v>1</v>
      </c>
      <c r="W20" t="s">
        <v>1</v>
      </c>
      <c r="X20" t="s">
        <v>2</v>
      </c>
    </row>
    <row r="21" spans="2:24" x14ac:dyDescent="0.2">
      <c r="B21" s="1">
        <v>3.9025999999999998E-2</v>
      </c>
      <c r="C21" s="1">
        <v>3.9030799999999997E-2</v>
      </c>
      <c r="D21" s="2">
        <f t="shared" si="0"/>
        <v>0.22679999999999997</v>
      </c>
      <c r="E21" s="1">
        <v>2.2679999999999998</v>
      </c>
      <c r="G21" s="1">
        <v>0.42825000000000002</v>
      </c>
      <c r="H21" s="1">
        <v>3.3200500000000002</v>
      </c>
      <c r="I21" s="2">
        <f t="shared" si="1"/>
        <v>0.33200499999999999</v>
      </c>
      <c r="J21" s="1">
        <v>0.398532</v>
      </c>
      <c r="K21" s="1">
        <v>3.3202400000000001</v>
      </c>
      <c r="L21" s="2">
        <f t="shared" si="2"/>
        <v>0.33202399999999999</v>
      </c>
      <c r="O21">
        <v>0</v>
      </c>
      <c r="P21">
        <v>0</v>
      </c>
      <c r="R21">
        <v>0</v>
      </c>
      <c r="S21">
        <v>0</v>
      </c>
      <c r="T21">
        <v>0</v>
      </c>
      <c r="W21">
        <v>0</v>
      </c>
      <c r="X21">
        <v>0</v>
      </c>
    </row>
    <row r="22" spans="2:24" x14ac:dyDescent="0.2">
      <c r="B22" s="1">
        <v>4.4491000000000003E-2</v>
      </c>
      <c r="C22" s="1">
        <v>4.4371399999999998E-2</v>
      </c>
      <c r="D22" s="2">
        <f t="shared" si="0"/>
        <v>0.24192</v>
      </c>
      <c r="E22" s="1">
        <v>2.4192</v>
      </c>
      <c r="G22" s="1">
        <v>0.467364</v>
      </c>
      <c r="H22" s="1">
        <v>3.3201200000000002</v>
      </c>
      <c r="I22" s="2">
        <f t="shared" si="1"/>
        <v>0.33201199999999997</v>
      </c>
      <c r="J22" s="1">
        <v>0.43382799999999999</v>
      </c>
      <c r="K22" s="1">
        <v>3.32029</v>
      </c>
      <c r="L22" s="2">
        <f t="shared" si="2"/>
        <v>0.33202900000000002</v>
      </c>
      <c r="O22">
        <v>1.4177E-2</v>
      </c>
      <c r="P22">
        <v>9.9652000000000004E-2</v>
      </c>
      <c r="R22" s="1">
        <v>2.8621099999999999E-5</v>
      </c>
      <c r="S22">
        <v>2E-3</v>
      </c>
      <c r="T22" s="2">
        <f t="shared" ref="T22:T43" si="3">S22*100000000/(1000000000)</f>
        <v>2.0000000000000001E-4</v>
      </c>
      <c r="W22">
        <v>3.5000000000000003E-2</v>
      </c>
      <c r="X22">
        <v>5.0000000000000001E-3</v>
      </c>
    </row>
    <row r="23" spans="2:24" x14ac:dyDescent="0.2">
      <c r="B23" s="1">
        <v>5.08184E-2</v>
      </c>
      <c r="C23" s="1">
        <v>5.0861799999999999E-2</v>
      </c>
      <c r="D23" s="2">
        <f t="shared" si="0"/>
        <v>0.25703999999999999</v>
      </c>
      <c r="E23" s="1">
        <v>2.5703999999999998</v>
      </c>
      <c r="G23" s="1">
        <v>0.50653000000000004</v>
      </c>
      <c r="H23" s="1">
        <v>3.3201900000000002</v>
      </c>
      <c r="I23" s="2">
        <f t="shared" si="1"/>
        <v>0.33201900000000001</v>
      </c>
      <c r="J23" s="1">
        <v>0.46904499999999999</v>
      </c>
      <c r="K23" s="1">
        <v>3.3202500000000001</v>
      </c>
      <c r="L23" s="2">
        <f t="shared" si="2"/>
        <v>0.33202500000000001</v>
      </c>
      <c r="O23">
        <v>2.1519E-2</v>
      </c>
      <c r="P23">
        <v>0.14982999999999999</v>
      </c>
      <c r="R23" s="1">
        <v>5.7242099999999999E-5</v>
      </c>
      <c r="S23">
        <v>3.9999900000000001E-3</v>
      </c>
      <c r="T23" s="2">
        <f t="shared" si="3"/>
        <v>3.99999E-4</v>
      </c>
      <c r="W23">
        <v>7.0000000000000007E-2</v>
      </c>
      <c r="X23">
        <v>0.01</v>
      </c>
    </row>
    <row r="24" spans="2:24" x14ac:dyDescent="0.2">
      <c r="B24" s="1">
        <v>5.8793199999999997E-2</v>
      </c>
      <c r="C24" s="1">
        <v>5.8630799999999997E-2</v>
      </c>
      <c r="D24" s="2">
        <f t="shared" si="0"/>
        <v>0.27216000000000001</v>
      </c>
      <c r="E24" s="1">
        <v>2.7216</v>
      </c>
      <c r="G24" s="1">
        <v>0.54563099999999998</v>
      </c>
      <c r="H24" s="1">
        <v>3.3201700000000001</v>
      </c>
      <c r="I24" s="2">
        <f t="shared" si="1"/>
        <v>0.33201700000000001</v>
      </c>
      <c r="J24" s="1">
        <v>0.50428799999999996</v>
      </c>
      <c r="K24" s="1">
        <v>3.3202600000000002</v>
      </c>
      <c r="L24" s="2">
        <f t="shared" si="2"/>
        <v>0.33202599999999999</v>
      </c>
      <c r="O24">
        <v>3.0633000000000001E-2</v>
      </c>
      <c r="P24">
        <v>0.19721</v>
      </c>
      <c r="R24">
        <v>1.0017399999999999E-4</v>
      </c>
      <c r="S24">
        <v>6.9999700000000003E-3</v>
      </c>
      <c r="T24" s="2">
        <f t="shared" si="3"/>
        <v>6.9999700000000005E-4</v>
      </c>
      <c r="W24">
        <v>0.105</v>
      </c>
      <c r="X24">
        <v>1.4999999999999999E-2</v>
      </c>
    </row>
    <row r="25" spans="2:24" x14ac:dyDescent="0.2">
      <c r="B25" s="1">
        <v>6.85278E-2</v>
      </c>
      <c r="C25" s="1">
        <v>6.8583400000000003E-2</v>
      </c>
      <c r="D25" s="2">
        <f t="shared" si="0"/>
        <v>0.28727999999999998</v>
      </c>
      <c r="E25" s="1">
        <v>2.8727999999999998</v>
      </c>
      <c r="G25" s="1">
        <v>0.58466499999999999</v>
      </c>
      <c r="H25" s="1">
        <v>3.32009</v>
      </c>
      <c r="I25" s="2">
        <f t="shared" si="1"/>
        <v>0.332009</v>
      </c>
      <c r="J25" s="1">
        <v>0.53954100000000005</v>
      </c>
      <c r="K25" s="1">
        <v>3.32029</v>
      </c>
      <c r="L25" s="2">
        <f t="shared" si="2"/>
        <v>0.33202900000000002</v>
      </c>
      <c r="O25">
        <v>4.2784999999999997E-2</v>
      </c>
      <c r="P25">
        <v>0.23902000000000001</v>
      </c>
      <c r="R25">
        <v>1.6457099999999999E-4</v>
      </c>
      <c r="S25">
        <v>1.14999E-2</v>
      </c>
      <c r="T25" s="2">
        <f t="shared" si="3"/>
        <v>1.14999E-3</v>
      </c>
      <c r="W25">
        <v>0.14000000000000001</v>
      </c>
      <c r="X25">
        <v>0.02</v>
      </c>
    </row>
    <row r="26" spans="2:24" x14ac:dyDescent="0.2">
      <c r="B26" s="1">
        <v>8.1509499999999999E-2</v>
      </c>
      <c r="C26" s="1">
        <v>8.17547E-2</v>
      </c>
      <c r="D26" s="2">
        <f t="shared" si="0"/>
        <v>0.3024</v>
      </c>
      <c r="E26" s="1">
        <v>3.024</v>
      </c>
      <c r="G26" s="1">
        <v>0.62369399999999997</v>
      </c>
      <c r="H26" s="1">
        <v>3.3200400000000001</v>
      </c>
      <c r="I26" s="2">
        <f t="shared" si="1"/>
        <v>0.33200400000000002</v>
      </c>
      <c r="J26" s="1">
        <v>0.57480399999999998</v>
      </c>
      <c r="K26" s="1">
        <v>3.3203299999999998</v>
      </c>
      <c r="L26" s="2">
        <f t="shared" si="2"/>
        <v>0.33203300000000002</v>
      </c>
      <c r="O26">
        <v>0.06</v>
      </c>
      <c r="P26">
        <v>0.27595999999999998</v>
      </c>
      <c r="R26">
        <v>2.6116799999999999E-4</v>
      </c>
      <c r="S26">
        <v>1.82498E-2</v>
      </c>
      <c r="T26" s="2">
        <f t="shared" si="3"/>
        <v>1.8249799999999999E-3</v>
      </c>
      <c r="W26">
        <v>0.14000000000000001</v>
      </c>
      <c r="X26">
        <v>0.02</v>
      </c>
    </row>
    <row r="27" spans="2:24" x14ac:dyDescent="0.2">
      <c r="B27" s="1">
        <v>0.101089</v>
      </c>
      <c r="C27" s="1">
        <v>0.101343</v>
      </c>
      <c r="D27" s="2">
        <f t="shared" si="0"/>
        <v>0.31752000000000002</v>
      </c>
      <c r="E27" s="1">
        <v>3.1751999999999998</v>
      </c>
      <c r="G27" s="1">
        <v>0.66270700000000005</v>
      </c>
      <c r="H27" s="1">
        <v>3.3199900000000002</v>
      </c>
      <c r="I27" s="2">
        <f t="shared" si="1"/>
        <v>0.33199899999999999</v>
      </c>
      <c r="J27" s="1">
        <v>0.61007900000000004</v>
      </c>
      <c r="K27" s="1">
        <v>3.32037</v>
      </c>
      <c r="L27" s="2">
        <f t="shared" si="2"/>
        <v>0.33203700000000003</v>
      </c>
      <c r="O27">
        <v>7.7975000000000003E-2</v>
      </c>
      <c r="P27">
        <v>0.29970000000000002</v>
      </c>
      <c r="R27">
        <v>4.0606300000000002E-4</v>
      </c>
      <c r="S27">
        <v>2.8374400000000001E-2</v>
      </c>
      <c r="T27" s="2">
        <f t="shared" si="3"/>
        <v>2.8374400000000001E-3</v>
      </c>
      <c r="W27">
        <v>0.17910000000000001</v>
      </c>
      <c r="X27">
        <v>2.6599999999999999E-2</v>
      </c>
    </row>
    <row r="28" spans="2:24" x14ac:dyDescent="0.2">
      <c r="B28" s="1">
        <v>0.237734</v>
      </c>
      <c r="C28" s="1">
        <v>0.22434799999999999</v>
      </c>
      <c r="D28" s="2">
        <f t="shared" si="0"/>
        <v>0.33263999999999999</v>
      </c>
      <c r="E28" s="1">
        <v>3.3264</v>
      </c>
      <c r="G28" s="1">
        <v>0.70170699999999997</v>
      </c>
      <c r="H28" s="1">
        <v>3.31996</v>
      </c>
      <c r="I28" s="2">
        <f t="shared" si="1"/>
        <v>0.33199600000000001</v>
      </c>
      <c r="J28" s="1">
        <v>0.64536700000000002</v>
      </c>
      <c r="K28" s="1">
        <v>3.32043</v>
      </c>
      <c r="L28" s="2">
        <f t="shared" si="2"/>
        <v>0.33204299999999998</v>
      </c>
      <c r="O28">
        <v>0.10785</v>
      </c>
      <c r="P28">
        <v>0.32195000000000001</v>
      </c>
      <c r="R28">
        <v>6.2340599999999996E-4</v>
      </c>
      <c r="S28">
        <v>4.3561000000000002E-2</v>
      </c>
      <c r="T28" s="2">
        <f t="shared" si="3"/>
        <v>4.3560999999999999E-3</v>
      </c>
      <c r="W28">
        <v>0.21299999999999999</v>
      </c>
      <c r="X28">
        <v>3.4599999999999999E-2</v>
      </c>
    </row>
    <row r="29" spans="2:24" x14ac:dyDescent="0.2">
      <c r="C29" s="1">
        <v>79.274799999999999</v>
      </c>
      <c r="D29" s="2">
        <f t="shared" si="0"/>
        <v>0.34776000000000001</v>
      </c>
      <c r="E29" s="1">
        <v>3.4775999999999998</v>
      </c>
      <c r="G29" s="1">
        <v>0.74069700000000005</v>
      </c>
      <c r="H29" s="1">
        <v>3.3199299999999998</v>
      </c>
      <c r="I29" s="2">
        <f t="shared" si="1"/>
        <v>0.33199299999999998</v>
      </c>
      <c r="J29" s="1">
        <v>0.68066700000000002</v>
      </c>
      <c r="K29" s="1">
        <v>3.3204799999999999</v>
      </c>
      <c r="L29" s="2">
        <f t="shared" si="2"/>
        <v>0.33204800000000001</v>
      </c>
      <c r="O29">
        <v>0.13442999999999999</v>
      </c>
      <c r="P29">
        <v>0.33030999999999999</v>
      </c>
      <c r="R29">
        <v>9.4942300000000002E-4</v>
      </c>
      <c r="S29">
        <v>6.6340300000000005E-2</v>
      </c>
      <c r="T29" s="2">
        <f t="shared" si="3"/>
        <v>6.6340300000000008E-3</v>
      </c>
      <c r="W29">
        <v>0.24199999999999999</v>
      </c>
      <c r="X29">
        <v>4.3900000000000002E-2</v>
      </c>
    </row>
    <row r="30" spans="2:24" x14ac:dyDescent="0.2">
      <c r="C30" s="1">
        <v>156.422</v>
      </c>
      <c r="D30" s="2">
        <f t="shared" si="0"/>
        <v>0.36287999999999998</v>
      </c>
      <c r="E30" s="1">
        <v>3.6288</v>
      </c>
      <c r="G30" s="1">
        <v>0.77967799999999998</v>
      </c>
      <c r="H30" s="1">
        <v>3.3199000000000001</v>
      </c>
      <c r="I30" s="2">
        <f t="shared" si="1"/>
        <v>0.33199000000000001</v>
      </c>
      <c r="J30" s="1">
        <v>0.71597900000000003</v>
      </c>
      <c r="K30" s="1">
        <v>3.3205499999999999</v>
      </c>
      <c r="L30" s="2">
        <f t="shared" si="2"/>
        <v>0.33205499999999999</v>
      </c>
      <c r="O30">
        <v>0.14329</v>
      </c>
      <c r="P30">
        <v>0.33239999999999997</v>
      </c>
      <c r="R30">
        <v>1.43845E-3</v>
      </c>
      <c r="S30">
        <v>0.100508</v>
      </c>
      <c r="T30" s="2">
        <f t="shared" si="3"/>
        <v>1.00508E-2</v>
      </c>
      <c r="W30">
        <v>0.2666</v>
      </c>
      <c r="X30">
        <v>5.4899999999999997E-2</v>
      </c>
    </row>
    <row r="31" spans="2:24" x14ac:dyDescent="0.2">
      <c r="G31" s="1">
        <v>0.81865200000000005</v>
      </c>
      <c r="H31" s="1">
        <v>3.3198799999999999</v>
      </c>
      <c r="I31" s="2">
        <f t="shared" si="1"/>
        <v>0.33198800000000001</v>
      </c>
      <c r="J31" s="1">
        <v>0.75130399999999997</v>
      </c>
      <c r="K31" s="1">
        <v>3.3206099999999998</v>
      </c>
      <c r="L31" s="2">
        <f t="shared" si="2"/>
        <v>0.332061</v>
      </c>
      <c r="O31">
        <v>0.15923999999999999</v>
      </c>
      <c r="P31">
        <v>0.33310000000000001</v>
      </c>
      <c r="R31">
        <v>2.1720099999999998E-3</v>
      </c>
      <c r="S31">
        <v>0.151755</v>
      </c>
      <c r="T31" s="2">
        <f t="shared" si="3"/>
        <v>1.51755E-2</v>
      </c>
      <c r="W31">
        <v>0.28710000000000002</v>
      </c>
      <c r="X31">
        <v>6.7500000000000004E-2</v>
      </c>
    </row>
    <row r="32" spans="2:24" x14ac:dyDescent="0.2">
      <c r="G32" s="1">
        <v>0.85761799999999999</v>
      </c>
      <c r="H32" s="1">
        <v>3.3198599999999998</v>
      </c>
      <c r="I32" s="2">
        <f t="shared" si="1"/>
        <v>0.331986</v>
      </c>
      <c r="J32" s="1">
        <v>0.78664000000000001</v>
      </c>
      <c r="K32" s="1">
        <v>3.3206699999999998</v>
      </c>
      <c r="L32" s="2">
        <f t="shared" si="2"/>
        <v>0.332067</v>
      </c>
      <c r="R32">
        <v>3.2723600000000002E-3</v>
      </c>
      <c r="S32">
        <v>0.22861899999999999</v>
      </c>
      <c r="T32" s="2">
        <f t="shared" si="3"/>
        <v>2.2861900000000001E-2</v>
      </c>
      <c r="W32">
        <v>0.30370000000000003</v>
      </c>
      <c r="X32">
        <v>8.1900000000000001E-2</v>
      </c>
    </row>
    <row r="33" spans="7:24" x14ac:dyDescent="0.2">
      <c r="G33" s="1">
        <v>0.89657900000000001</v>
      </c>
      <c r="H33" s="1">
        <v>3.3198500000000002</v>
      </c>
      <c r="I33" s="2">
        <f t="shared" si="1"/>
        <v>0.33198499999999997</v>
      </c>
      <c r="J33" s="1">
        <v>0.82198800000000005</v>
      </c>
      <c r="K33" s="1">
        <v>3.3207399999999998</v>
      </c>
      <c r="L33" s="2">
        <f t="shared" si="2"/>
        <v>0.33207399999999998</v>
      </c>
      <c r="R33">
        <v>4.9229299999999998E-3</v>
      </c>
      <c r="S33">
        <v>0.34389599999999998</v>
      </c>
      <c r="T33" s="2">
        <f t="shared" si="3"/>
        <v>3.4389599999999999E-2</v>
      </c>
      <c r="W33">
        <v>0.31640000000000001</v>
      </c>
      <c r="X33">
        <v>9.8299999999999998E-2</v>
      </c>
    </row>
    <row r="34" spans="7:24" x14ac:dyDescent="0.2">
      <c r="G34" s="1">
        <v>0.93553600000000003</v>
      </c>
      <c r="H34" s="1">
        <v>3.3198300000000001</v>
      </c>
      <c r="I34" s="2">
        <f t="shared" si="1"/>
        <v>0.33198299999999997</v>
      </c>
      <c r="J34" s="1">
        <v>0.85734999999999995</v>
      </c>
      <c r="K34" s="1">
        <v>3.3208099999999998</v>
      </c>
      <c r="L34" s="2">
        <f t="shared" si="2"/>
        <v>0.33208100000000002</v>
      </c>
      <c r="R34">
        <v>7.3990200000000001E-3</v>
      </c>
      <c r="S34">
        <v>0.51677899999999999</v>
      </c>
      <c r="T34" s="2">
        <f t="shared" si="3"/>
        <v>5.1677899999999999E-2</v>
      </c>
      <c r="W34">
        <v>0.32550000000000001</v>
      </c>
      <c r="X34">
        <v>0.1166</v>
      </c>
    </row>
    <row r="35" spans="7:24" x14ac:dyDescent="0.2">
      <c r="G35" s="1">
        <v>0.97448699999999999</v>
      </c>
      <c r="H35" s="1">
        <v>3.31982</v>
      </c>
      <c r="I35" s="2">
        <f t="shared" si="1"/>
        <v>0.331982</v>
      </c>
      <c r="J35" s="1">
        <v>0.89272700000000005</v>
      </c>
      <c r="K35" s="1">
        <v>3.3208799999999998</v>
      </c>
      <c r="L35" s="2">
        <f t="shared" si="2"/>
        <v>0.33208799999999999</v>
      </c>
      <c r="R35">
        <v>1.1113400000000001E-2</v>
      </c>
      <c r="S35">
        <v>0.77601299999999995</v>
      </c>
      <c r="T35" s="2">
        <f t="shared" si="3"/>
        <v>7.7601299999999998E-2</v>
      </c>
      <c r="W35">
        <v>0.33090000000000003</v>
      </c>
      <c r="X35">
        <v>0.13719999999999999</v>
      </c>
    </row>
    <row r="36" spans="7:24" x14ac:dyDescent="0.2">
      <c r="G36" s="1">
        <v>1.0134399999999999</v>
      </c>
      <c r="H36" s="1">
        <v>3.3198099999999999</v>
      </c>
      <c r="I36" s="2">
        <f t="shared" si="1"/>
        <v>0.33198100000000003</v>
      </c>
      <c r="J36" s="1">
        <v>0.92811500000000002</v>
      </c>
      <c r="K36" s="1">
        <v>3.3209499999999998</v>
      </c>
      <c r="L36" s="2">
        <f t="shared" si="2"/>
        <v>0.33209499999999997</v>
      </c>
      <c r="R36">
        <v>1.6685499999999999E-2</v>
      </c>
      <c r="S36">
        <v>1.1646700000000001</v>
      </c>
      <c r="T36" s="2">
        <f t="shared" si="3"/>
        <v>0.11646700000000001</v>
      </c>
      <c r="W36">
        <v>0.3327</v>
      </c>
      <c r="X36">
        <v>0.16</v>
      </c>
    </row>
    <row r="37" spans="7:24" x14ac:dyDescent="0.2">
      <c r="R37">
        <v>2.4998900000000001E-2</v>
      </c>
      <c r="S37">
        <v>1.70058</v>
      </c>
      <c r="T37" s="2">
        <f t="shared" si="3"/>
        <v>0.17005799999999999</v>
      </c>
      <c r="W37">
        <v>0.3327</v>
      </c>
      <c r="X37">
        <v>1</v>
      </c>
    </row>
    <row r="38" spans="7:24" x14ac:dyDescent="0.2">
      <c r="R38">
        <v>3.6941099999999998E-2</v>
      </c>
      <c r="S38">
        <v>2.2067800000000002</v>
      </c>
      <c r="T38" s="2">
        <f t="shared" si="3"/>
        <v>0.22067800000000004</v>
      </c>
    </row>
    <row r="39" spans="7:24" x14ac:dyDescent="0.2">
      <c r="J39" s="1"/>
      <c r="R39">
        <v>5.3670099999999998E-2</v>
      </c>
      <c r="S39">
        <v>2.6363300000000001</v>
      </c>
      <c r="T39" s="2">
        <f t="shared" si="3"/>
        <v>0.26363300000000001</v>
      </c>
    </row>
    <row r="40" spans="7:24" x14ac:dyDescent="0.2">
      <c r="J40" s="1"/>
      <c r="R40">
        <v>7.71535E-2</v>
      </c>
      <c r="S40">
        <v>2.97546</v>
      </c>
      <c r="T40" s="2">
        <f t="shared" si="3"/>
        <v>0.29754599999999998</v>
      </c>
    </row>
    <row r="41" spans="7:24" x14ac:dyDescent="0.2">
      <c r="J41" s="1"/>
      <c r="R41">
        <v>0.110525</v>
      </c>
      <c r="S41">
        <v>3.2137799999999999</v>
      </c>
      <c r="T41" s="2">
        <f t="shared" si="3"/>
        <v>0.321378</v>
      </c>
    </row>
    <row r="42" spans="7:24" x14ac:dyDescent="0.2">
      <c r="J42" s="1"/>
      <c r="R42">
        <v>0.15812100000000001</v>
      </c>
      <c r="S42">
        <v>3.3031100000000002</v>
      </c>
      <c r="T42" s="2">
        <f t="shared" si="3"/>
        <v>0.33031100000000002</v>
      </c>
    </row>
    <row r="43" spans="7:24" x14ac:dyDescent="0.2">
      <c r="J43" s="1"/>
      <c r="R43">
        <v>0.22844600000000001</v>
      </c>
      <c r="S43">
        <v>3.29155</v>
      </c>
      <c r="T43" s="2">
        <f t="shared" si="3"/>
        <v>0.32915499999999998</v>
      </c>
    </row>
    <row r="44" spans="7:24" x14ac:dyDescent="0.2">
      <c r="J44" s="1"/>
    </row>
    <row r="45" spans="7:24" x14ac:dyDescent="0.2">
      <c r="J45" s="1"/>
    </row>
    <row r="46" spans="7:24" x14ac:dyDescent="0.2">
      <c r="J46" s="1"/>
    </row>
    <row r="47" spans="7:24" x14ac:dyDescent="0.2">
      <c r="J47" s="1"/>
    </row>
    <row r="48" spans="7:24" x14ac:dyDescent="0.2">
      <c r="J48" s="1"/>
    </row>
    <row r="49" spans="10:10" x14ac:dyDescent="0.2">
      <c r="J49" s="1"/>
    </row>
    <row r="50" spans="10:10" x14ac:dyDescent="0.2">
      <c r="J50" s="1"/>
    </row>
    <row r="51" spans="10:10" x14ac:dyDescent="0.2">
      <c r="J51" s="1"/>
    </row>
    <row r="52" spans="10:10" x14ac:dyDescent="0.2">
      <c r="J52" s="1"/>
    </row>
    <row r="53" spans="10:10" x14ac:dyDescent="0.2">
      <c r="J53" s="1"/>
    </row>
    <row r="54" spans="10:10" x14ac:dyDescent="0.2">
      <c r="J54" s="1"/>
    </row>
    <row r="55" spans="10:10" x14ac:dyDescent="0.2">
      <c r="J55" s="1"/>
    </row>
    <row r="56" spans="10:10" x14ac:dyDescent="0.2">
      <c r="J56" s="1"/>
    </row>
    <row r="57" spans="10:10" x14ac:dyDescent="0.2">
      <c r="J57" s="1"/>
    </row>
    <row r="58" spans="10:10" x14ac:dyDescent="0.2">
      <c r="J58" s="1"/>
    </row>
    <row r="59" spans="10:10" x14ac:dyDescent="0.2">
      <c r="J59" s="1"/>
    </row>
    <row r="60" spans="10:10" x14ac:dyDescent="0.2">
      <c r="J60" s="1"/>
    </row>
    <row r="61" spans="10:10" x14ac:dyDescent="0.2">
      <c r="J61" s="1"/>
    </row>
    <row r="62" spans="10:10" x14ac:dyDescent="0.2">
      <c r="J62" s="1"/>
    </row>
    <row r="63" spans="10:10" x14ac:dyDescent="0.2">
      <c r="J63" s="1"/>
    </row>
    <row r="64" spans="10:10" x14ac:dyDescent="0.2">
      <c r="J64" s="1"/>
    </row>
    <row r="65" spans="10:10" x14ac:dyDescent="0.2">
      <c r="J65" s="1"/>
    </row>
    <row r="66" spans="10:10" x14ac:dyDescent="0.2">
      <c r="J66" s="1"/>
    </row>
    <row r="67" spans="10:10" x14ac:dyDescent="0.2">
      <c r="J67" s="1"/>
    </row>
    <row r="68" spans="10:10" x14ac:dyDescent="0.2">
      <c r="J68" s="1"/>
    </row>
  </sheetData>
  <mergeCells count="10">
    <mergeCell ref="W19:X19"/>
    <mergeCell ref="B3:E3"/>
    <mergeCell ref="G3:L3"/>
    <mergeCell ref="R19:T19"/>
    <mergeCell ref="O20:P20"/>
    <mergeCell ref="G4:I4"/>
    <mergeCell ref="J4:L4"/>
    <mergeCell ref="B4:C4"/>
    <mergeCell ref="D4:D5"/>
    <mergeCell ref="E4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0662-771A-4CD2-86D3-955B5459BD5C}">
  <dimension ref="B2:AC29"/>
  <sheetViews>
    <sheetView workbookViewId="0">
      <selection activeCell="O15" sqref="O15"/>
    </sheetView>
  </sheetViews>
  <sheetFormatPr baseColWidth="10" defaultColWidth="8.83203125" defaultRowHeight="15" x14ac:dyDescent="0.2"/>
  <cols>
    <col min="4" max="4" width="9.5" bestFit="1" customWidth="1"/>
    <col min="5" max="5" width="9.1640625" bestFit="1" customWidth="1"/>
    <col min="21" max="21" width="9.1640625" bestFit="1" customWidth="1"/>
  </cols>
  <sheetData>
    <row r="2" spans="2:29" x14ac:dyDescent="0.2">
      <c r="B2" s="12" t="s">
        <v>30</v>
      </c>
      <c r="C2" s="12"/>
      <c r="D2" s="12"/>
      <c r="E2" s="12"/>
      <c r="O2" s="12" t="s">
        <v>24</v>
      </c>
      <c r="P2" s="12"/>
    </row>
    <row r="3" spans="2:29" x14ac:dyDescent="0.2">
      <c r="B3" t="s">
        <v>0</v>
      </c>
      <c r="C3" t="s">
        <v>25</v>
      </c>
      <c r="D3" t="s">
        <v>26</v>
      </c>
      <c r="E3" t="s">
        <v>27</v>
      </c>
      <c r="O3" t="s">
        <v>28</v>
      </c>
      <c r="P3" t="s">
        <v>25</v>
      </c>
    </row>
    <row r="4" spans="2:29" x14ac:dyDescent="0.2">
      <c r="B4">
        <v>0</v>
      </c>
      <c r="C4" s="2">
        <v>0</v>
      </c>
      <c r="D4">
        <f>-E4</f>
        <v>0</v>
      </c>
      <c r="E4">
        <v>0</v>
      </c>
      <c r="O4">
        <v>0</v>
      </c>
      <c r="P4">
        <v>0</v>
      </c>
      <c r="R4" s="13" t="s">
        <v>25</v>
      </c>
      <c r="S4" s="12" t="s">
        <v>37</v>
      </c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2:29" x14ac:dyDescent="0.2">
      <c r="B5" s="1">
        <v>0.12</v>
      </c>
      <c r="C5" s="2">
        <f>100*B5</f>
        <v>12</v>
      </c>
      <c r="D5" s="7">
        <f t="shared" ref="D5:D26" si="0">-E5</f>
        <v>9.0354000000000007E-3</v>
      </c>
      <c r="E5" s="1">
        <v>-9.0354000000000007E-3</v>
      </c>
      <c r="O5" s="7">
        <v>7.4999999999999997E-2</v>
      </c>
      <c r="P5">
        <v>100</v>
      </c>
      <c r="R5" s="13"/>
      <c r="S5" s="5">
        <v>7</v>
      </c>
      <c r="T5" s="5">
        <v>21</v>
      </c>
      <c r="U5" s="5">
        <v>8</v>
      </c>
      <c r="V5" s="5">
        <v>25</v>
      </c>
      <c r="W5" s="5">
        <v>9</v>
      </c>
      <c r="X5" s="5">
        <v>28</v>
      </c>
      <c r="Y5" s="5">
        <v>10</v>
      </c>
      <c r="Z5" s="5">
        <v>31</v>
      </c>
      <c r="AA5" s="5">
        <v>11</v>
      </c>
      <c r="AB5" s="5">
        <v>34</v>
      </c>
      <c r="AC5" s="5">
        <v>12</v>
      </c>
    </row>
    <row r="6" spans="2:29" x14ac:dyDescent="0.2">
      <c r="B6" s="1">
        <v>0.36</v>
      </c>
      <c r="C6" s="2">
        <f t="shared" ref="C6:C29" si="1">100*B6</f>
        <v>36</v>
      </c>
      <c r="D6" s="7">
        <f t="shared" si="0"/>
        <v>2.71062E-2</v>
      </c>
      <c r="E6" s="1">
        <v>-2.71062E-2</v>
      </c>
      <c r="O6" s="7">
        <v>0.13227</v>
      </c>
      <c r="P6">
        <v>157.71</v>
      </c>
      <c r="R6" s="5">
        <v>100</v>
      </c>
      <c r="S6" s="1">
        <v>-7.5295000000000001E-2</v>
      </c>
      <c r="T6" s="1">
        <v>-7.4385499999999993E-2</v>
      </c>
      <c r="U6" s="1">
        <v>-7.1606600000000006E-2</v>
      </c>
      <c r="V6" s="1">
        <v>-6.7089300000000004E-2</v>
      </c>
      <c r="W6" s="1">
        <v>-6.0873799999999999E-2</v>
      </c>
      <c r="X6" s="1">
        <v>-5.3180400000000003E-2</v>
      </c>
      <c r="Y6" s="1">
        <v>-4.4118299999999999E-2</v>
      </c>
      <c r="Z6" s="1">
        <v>-3.4014700000000002E-2</v>
      </c>
      <c r="AA6" s="1">
        <v>-2.3031099999999999E-2</v>
      </c>
      <c r="AB6" s="1">
        <v>-1.16271E-2</v>
      </c>
      <c r="AC6" s="1">
        <v>0</v>
      </c>
    </row>
    <row r="7" spans="2:29" x14ac:dyDescent="0.2">
      <c r="B7" s="1">
        <v>0.84</v>
      </c>
      <c r="C7" s="2">
        <f t="shared" si="1"/>
        <v>84</v>
      </c>
      <c r="D7" s="7">
        <f t="shared" si="0"/>
        <v>6.3247800000000007E-2</v>
      </c>
      <c r="E7" s="1">
        <v>-6.3247800000000007E-2</v>
      </c>
      <c r="O7" s="7">
        <v>0.17459</v>
      </c>
      <c r="P7">
        <v>200</v>
      </c>
      <c r="R7" s="5">
        <v>200</v>
      </c>
      <c r="S7" s="1">
        <v>-0.17263999999999999</v>
      </c>
      <c r="T7" s="1">
        <v>-0.17016200000000001</v>
      </c>
      <c r="U7" s="1">
        <v>-0.162825</v>
      </c>
      <c r="V7" s="1">
        <v>-0.15117800000000001</v>
      </c>
      <c r="W7" s="1">
        <v>-0.13580800000000001</v>
      </c>
      <c r="X7" s="1">
        <v>-0.117534</v>
      </c>
      <c r="Y7" s="1">
        <v>-9.67808E-2</v>
      </c>
      <c r="Z7" s="1">
        <v>-7.4229100000000006E-2</v>
      </c>
      <c r="AA7" s="1">
        <v>-5.0090000000000003E-2</v>
      </c>
      <c r="AB7" s="1">
        <v>-2.5233599999999998E-2</v>
      </c>
      <c r="AC7" s="1">
        <v>0</v>
      </c>
    </row>
    <row r="8" spans="2:29" x14ac:dyDescent="0.2">
      <c r="B8" s="1">
        <v>1.77485</v>
      </c>
      <c r="C8" s="2">
        <f t="shared" si="1"/>
        <v>177.48500000000001</v>
      </c>
      <c r="D8" s="7">
        <f t="shared" si="0"/>
        <v>0.13608400000000001</v>
      </c>
      <c r="E8" s="1">
        <v>-0.13608400000000001</v>
      </c>
      <c r="O8" s="7">
        <v>0.23139000000000001</v>
      </c>
      <c r="P8">
        <v>220</v>
      </c>
      <c r="R8" s="5">
        <v>250</v>
      </c>
      <c r="S8" s="1">
        <v>-0.52673999999999999</v>
      </c>
      <c r="T8" s="1">
        <v>-0.51801799999999998</v>
      </c>
      <c r="U8" s="1">
        <v>-0.49265599999999998</v>
      </c>
      <c r="V8" s="1">
        <v>-0.45310699999999998</v>
      </c>
      <c r="W8" s="1">
        <v>-0.40218999999999999</v>
      </c>
      <c r="X8" s="1">
        <v>-0.343107</v>
      </c>
      <c r="Y8" s="1">
        <v>-0.27804299999999998</v>
      </c>
      <c r="Z8" s="1">
        <v>-0.20966099999999999</v>
      </c>
      <c r="AA8" s="1">
        <v>-0.1394</v>
      </c>
      <c r="AB8" s="1">
        <v>-6.9305099999999994E-2</v>
      </c>
      <c r="AC8" s="1">
        <v>0</v>
      </c>
    </row>
    <row r="9" spans="2:29" x14ac:dyDescent="0.2">
      <c r="B9" s="1">
        <v>2.1535299999999999</v>
      </c>
      <c r="C9" s="2">
        <f t="shared" si="1"/>
        <v>215.35300000000001</v>
      </c>
      <c r="D9" s="7">
        <f t="shared" si="0"/>
        <v>0.212614</v>
      </c>
      <c r="E9" s="1">
        <v>-0.212614</v>
      </c>
      <c r="O9" s="7">
        <v>0.27578000000000003</v>
      </c>
      <c r="P9">
        <v>230.29</v>
      </c>
      <c r="R9" s="1" t="s">
        <v>38</v>
      </c>
      <c r="S9" s="4">
        <v>0</v>
      </c>
      <c r="T9" s="4">
        <v>0.1</v>
      </c>
      <c r="U9" s="4">
        <v>0.2</v>
      </c>
      <c r="V9" s="4">
        <v>0.3</v>
      </c>
      <c r="W9" s="4">
        <v>0.4</v>
      </c>
      <c r="X9" s="4">
        <v>0.5</v>
      </c>
      <c r="Y9" s="4">
        <v>0.6</v>
      </c>
      <c r="Z9" s="4">
        <v>0.7</v>
      </c>
      <c r="AA9" s="4">
        <v>0.8</v>
      </c>
      <c r="AB9" s="4">
        <v>0.9</v>
      </c>
      <c r="AC9" s="4">
        <v>1</v>
      </c>
    </row>
    <row r="10" spans="2:29" x14ac:dyDescent="0.2">
      <c r="B10" s="1">
        <v>2.3093900000000001</v>
      </c>
      <c r="C10" s="2">
        <f t="shared" si="1"/>
        <v>230.93899999999999</v>
      </c>
      <c r="D10" s="7">
        <f t="shared" si="0"/>
        <v>0.28022200000000003</v>
      </c>
      <c r="E10" s="1">
        <v>-0.28022200000000003</v>
      </c>
      <c r="O10" s="7">
        <v>0.37672</v>
      </c>
      <c r="P10">
        <v>240</v>
      </c>
    </row>
    <row r="11" spans="2:29" x14ac:dyDescent="0.2">
      <c r="B11" s="1">
        <v>2.3797600000000001</v>
      </c>
      <c r="C11" s="2">
        <f t="shared" si="1"/>
        <v>237.976</v>
      </c>
      <c r="D11" s="7">
        <f t="shared" si="0"/>
        <v>0.347418</v>
      </c>
      <c r="E11" s="1">
        <v>-0.347418</v>
      </c>
      <c r="O11" s="7">
        <v>0.54159999999999997</v>
      </c>
      <c r="P11">
        <v>250.29</v>
      </c>
    </row>
    <row r="12" spans="2:29" x14ac:dyDescent="0.2">
      <c r="B12" s="1">
        <v>2.4363000000000001</v>
      </c>
      <c r="C12" s="2">
        <f t="shared" si="1"/>
        <v>243.63000000000002</v>
      </c>
      <c r="D12" s="7">
        <f t="shared" si="0"/>
        <v>0.41493000000000002</v>
      </c>
      <c r="E12" s="1">
        <v>-0.41493000000000002</v>
      </c>
      <c r="O12" s="7">
        <v>0.69166000000000005</v>
      </c>
      <c r="P12">
        <v>254.86</v>
      </c>
    </row>
    <row r="13" spans="2:29" x14ac:dyDescent="0.2">
      <c r="B13" s="1">
        <v>2.47831</v>
      </c>
      <c r="C13" s="2">
        <f t="shared" si="1"/>
        <v>247.83099999999999</v>
      </c>
      <c r="D13" s="7">
        <f t="shared" si="0"/>
        <v>0.48294100000000001</v>
      </c>
      <c r="E13" s="1">
        <v>-0.48294100000000001</v>
      </c>
      <c r="O13" s="7">
        <v>0.77529000000000003</v>
      </c>
      <c r="P13">
        <v>257.14</v>
      </c>
    </row>
    <row r="14" spans="2:29" x14ac:dyDescent="0.2">
      <c r="B14" s="1">
        <v>2.51105</v>
      </c>
      <c r="C14" s="2">
        <f t="shared" si="1"/>
        <v>251.10499999999999</v>
      </c>
      <c r="D14" s="7">
        <f t="shared" si="0"/>
        <v>0.55106200000000005</v>
      </c>
      <c r="E14" s="1">
        <v>-0.55106200000000005</v>
      </c>
      <c r="O14" s="7">
        <v>0.92532000000000003</v>
      </c>
      <c r="P14">
        <v>259.43</v>
      </c>
    </row>
    <row r="15" spans="2:29" x14ac:dyDescent="0.2">
      <c r="B15" s="1">
        <v>2.5355400000000001</v>
      </c>
      <c r="C15" s="2">
        <f t="shared" si="1"/>
        <v>253.554</v>
      </c>
      <c r="D15" s="7">
        <f t="shared" si="0"/>
        <v>0.61926400000000004</v>
      </c>
      <c r="E15" s="1">
        <v>-0.61926400000000004</v>
      </c>
      <c r="O15" s="7">
        <v>1.3507</v>
      </c>
      <c r="P15">
        <v>259.8</v>
      </c>
      <c r="R15" s="1"/>
      <c r="S15" s="1"/>
      <c r="U15" s="1"/>
    </row>
    <row r="16" spans="2:29" x14ac:dyDescent="0.2">
      <c r="B16" s="1">
        <v>2.5567600000000001</v>
      </c>
      <c r="C16" s="2">
        <f t="shared" si="1"/>
        <v>255.67600000000002</v>
      </c>
      <c r="D16" s="7">
        <f t="shared" si="0"/>
        <v>0.68752599999999997</v>
      </c>
      <c r="E16" s="1">
        <v>-0.68752599999999997</v>
      </c>
      <c r="R16" s="1"/>
      <c r="S16" s="1"/>
      <c r="U16" s="1"/>
    </row>
    <row r="17" spans="2:21" x14ac:dyDescent="0.2">
      <c r="B17" s="1">
        <v>2.5731999999999999</v>
      </c>
      <c r="C17" s="2">
        <f t="shared" si="1"/>
        <v>257.32</v>
      </c>
      <c r="D17" s="7">
        <f t="shared" si="0"/>
        <v>0.75582000000000005</v>
      </c>
      <c r="E17" s="1">
        <v>-0.75582000000000005</v>
      </c>
      <c r="R17" s="1"/>
      <c r="S17" s="1"/>
      <c r="U17" s="1"/>
    </row>
    <row r="18" spans="2:21" x14ac:dyDescent="0.2">
      <c r="B18" s="1">
        <v>2.5861000000000001</v>
      </c>
      <c r="C18" s="2">
        <f t="shared" si="1"/>
        <v>258.61</v>
      </c>
      <c r="D18" s="7">
        <f t="shared" si="0"/>
        <v>0.82414699999999996</v>
      </c>
      <c r="E18" s="1">
        <v>-0.82414699999999996</v>
      </c>
      <c r="R18" s="1"/>
      <c r="S18" s="1"/>
      <c r="U18" s="1"/>
    </row>
    <row r="19" spans="2:21" x14ac:dyDescent="0.2">
      <c r="B19" s="1">
        <v>2.59694</v>
      </c>
      <c r="C19" s="2">
        <f t="shared" si="1"/>
        <v>259.69400000000002</v>
      </c>
      <c r="D19" s="7">
        <f t="shared" si="0"/>
        <v>0.90307999999999999</v>
      </c>
      <c r="E19" s="1">
        <v>-0.90307999999999999</v>
      </c>
      <c r="R19" s="1"/>
      <c r="S19" s="1"/>
      <c r="U19" s="1"/>
    </row>
    <row r="20" spans="2:21" x14ac:dyDescent="0.2">
      <c r="B20" s="1">
        <v>2.60351</v>
      </c>
      <c r="C20" s="2">
        <f>100*B20</f>
        <v>260.351</v>
      </c>
      <c r="D20" s="7">
        <f t="shared" si="0"/>
        <v>0.98202800000000001</v>
      </c>
      <c r="E20" s="1">
        <v>-0.98202800000000001</v>
      </c>
      <c r="G20" t="s">
        <v>43</v>
      </c>
      <c r="H20" s="3">
        <f>(C29-H24)/H24</f>
        <v>-8.8190184049173913E-5</v>
      </c>
      <c r="R20" s="1"/>
      <c r="S20" s="1"/>
      <c r="U20" s="1"/>
    </row>
    <row r="21" spans="2:21" x14ac:dyDescent="0.2">
      <c r="B21" s="1">
        <v>2.60595</v>
      </c>
      <c r="C21" s="2">
        <f t="shared" si="1"/>
        <v>260.59500000000003</v>
      </c>
      <c r="D21" s="7">
        <f t="shared" si="0"/>
        <v>1.06098</v>
      </c>
      <c r="E21" s="1">
        <v>-1.06098</v>
      </c>
      <c r="R21" s="1"/>
      <c r="S21" s="1"/>
      <c r="U21" s="1"/>
    </row>
    <row r="22" spans="2:21" x14ac:dyDescent="0.2">
      <c r="B22" s="1">
        <v>2.6063999999999998</v>
      </c>
      <c r="C22" s="2">
        <f t="shared" si="1"/>
        <v>260.64</v>
      </c>
      <c r="D22" s="7">
        <f t="shared" si="0"/>
        <v>1.13995</v>
      </c>
      <c r="E22" s="1">
        <v>-1.13995</v>
      </c>
      <c r="G22" s="12" t="s">
        <v>29</v>
      </c>
      <c r="H22" s="12"/>
      <c r="R22" s="1"/>
      <c r="S22" s="1"/>
      <c r="U22" s="1"/>
    </row>
    <row r="23" spans="2:21" x14ac:dyDescent="0.2">
      <c r="B23" s="1">
        <v>2.6067399999999998</v>
      </c>
      <c r="C23" s="2">
        <f t="shared" si="1"/>
        <v>260.67399999999998</v>
      </c>
      <c r="D23" s="7">
        <f t="shared" si="0"/>
        <v>1.2189300000000001</v>
      </c>
      <c r="E23" s="1">
        <v>-1.2189300000000001</v>
      </c>
      <c r="G23">
        <v>0</v>
      </c>
      <c r="H23">
        <v>260.8</v>
      </c>
      <c r="R23" s="1"/>
      <c r="S23" s="1"/>
      <c r="U23" s="1"/>
    </row>
    <row r="24" spans="2:21" x14ac:dyDescent="0.2">
      <c r="B24" s="1">
        <v>2.6070099999999998</v>
      </c>
      <c r="C24" s="2">
        <f t="shared" si="1"/>
        <v>260.70099999999996</v>
      </c>
      <c r="D24" s="7">
        <f t="shared" si="0"/>
        <v>1.29792</v>
      </c>
      <c r="E24" s="1">
        <v>-1.29792</v>
      </c>
      <c r="G24">
        <v>1.6</v>
      </c>
      <c r="H24">
        <v>260.8</v>
      </c>
      <c r="R24" s="1"/>
      <c r="S24" s="1"/>
      <c r="U24" s="1"/>
    </row>
    <row r="25" spans="2:21" x14ac:dyDescent="0.2">
      <c r="B25" s="1">
        <v>2.6072299999999999</v>
      </c>
      <c r="C25" s="2">
        <f t="shared" si="1"/>
        <v>260.72300000000001</v>
      </c>
      <c r="D25" s="7">
        <f t="shared" si="0"/>
        <v>1.3769199999999999</v>
      </c>
      <c r="E25" s="1">
        <v>-1.3769199999999999</v>
      </c>
      <c r="R25" s="1"/>
      <c r="S25" s="1"/>
      <c r="U25" s="1"/>
    </row>
    <row r="26" spans="2:21" x14ac:dyDescent="0.2">
      <c r="B26" s="1">
        <v>2.6074000000000002</v>
      </c>
      <c r="C26" s="2">
        <f t="shared" si="1"/>
        <v>260.74</v>
      </c>
      <c r="D26" s="7">
        <f t="shared" si="0"/>
        <v>1.4559200000000001</v>
      </c>
      <c r="E26" s="1">
        <v>-1.4559200000000001</v>
      </c>
      <c r="R26" s="1"/>
      <c r="S26" s="1"/>
      <c r="U26" s="1"/>
    </row>
    <row r="27" spans="2:21" x14ac:dyDescent="0.2">
      <c r="B27" s="1">
        <v>2.6075499999999998</v>
      </c>
      <c r="C27" s="2">
        <f t="shared" si="1"/>
        <v>260.755</v>
      </c>
      <c r="D27" s="7">
        <f t="shared" ref="D27:D29" si="2">-E27</f>
        <v>1.5349299999999999</v>
      </c>
      <c r="E27" s="1">
        <v>-1.5349299999999999</v>
      </c>
    </row>
    <row r="28" spans="2:21" x14ac:dyDescent="0.2">
      <c r="B28" s="1">
        <v>2.6076700000000002</v>
      </c>
      <c r="C28" s="2">
        <f t="shared" si="1"/>
        <v>260.767</v>
      </c>
      <c r="D28" s="7">
        <f t="shared" si="2"/>
        <v>1.61395</v>
      </c>
      <c r="E28" s="1">
        <v>-1.61395</v>
      </c>
    </row>
    <row r="29" spans="2:21" x14ac:dyDescent="0.2">
      <c r="B29" s="1">
        <v>2.6077699999999999</v>
      </c>
      <c r="C29" s="2">
        <f t="shared" si="1"/>
        <v>260.77699999999999</v>
      </c>
      <c r="D29" s="7">
        <f t="shared" si="2"/>
        <v>1.69296</v>
      </c>
      <c r="E29" s="1">
        <v>-1.69296</v>
      </c>
    </row>
  </sheetData>
  <mergeCells count="5">
    <mergeCell ref="S4:AC4"/>
    <mergeCell ref="B2:E2"/>
    <mergeCell ref="O2:P2"/>
    <mergeCell ref="G22:H22"/>
    <mergeCell ref="R4:R5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3A2E-9A95-47C8-BF6B-618175F9A800}">
  <dimension ref="B2:R40"/>
  <sheetViews>
    <sheetView topLeftCell="C1" workbookViewId="0">
      <selection activeCell="R40" sqref="R40"/>
    </sheetView>
  </sheetViews>
  <sheetFormatPr baseColWidth="10" defaultColWidth="8.83203125" defaultRowHeight="15" x14ac:dyDescent="0.2"/>
  <sheetData>
    <row r="2" spans="2:13" x14ac:dyDescent="0.2">
      <c r="B2" s="12" t="s">
        <v>31</v>
      </c>
      <c r="C2" s="12"/>
      <c r="D2" s="12"/>
      <c r="E2" s="12"/>
      <c r="F2" s="12"/>
      <c r="I2" s="12" t="s">
        <v>32</v>
      </c>
      <c r="J2" s="12"/>
      <c r="K2" s="12"/>
      <c r="L2" s="12"/>
      <c r="M2" s="12"/>
    </row>
    <row r="3" spans="2:13" x14ac:dyDescent="0.2">
      <c r="B3" s="12" t="s">
        <v>33</v>
      </c>
      <c r="C3" s="12"/>
      <c r="D3" s="14" t="s">
        <v>0</v>
      </c>
      <c r="E3" s="12" t="s">
        <v>34</v>
      </c>
      <c r="F3" s="12"/>
      <c r="I3" s="12" t="s">
        <v>33</v>
      </c>
      <c r="J3" s="12"/>
      <c r="K3" s="14" t="s">
        <v>0</v>
      </c>
      <c r="L3" s="12" t="s">
        <v>34</v>
      </c>
      <c r="M3" s="12"/>
    </row>
    <row r="4" spans="2:13" x14ac:dyDescent="0.2">
      <c r="B4" t="s">
        <v>35</v>
      </c>
      <c r="C4" t="s">
        <v>2</v>
      </c>
      <c r="D4" s="14"/>
      <c r="E4" t="s">
        <v>2</v>
      </c>
      <c r="F4" t="s">
        <v>35</v>
      </c>
      <c r="I4" t="s">
        <v>35</v>
      </c>
      <c r="J4" t="s">
        <v>2</v>
      </c>
      <c r="K4" s="14"/>
      <c r="L4" t="s">
        <v>35</v>
      </c>
      <c r="M4" t="s">
        <v>2</v>
      </c>
    </row>
    <row r="5" spans="2:13" x14ac:dyDescent="0.2">
      <c r="B5">
        <v>0</v>
      </c>
      <c r="C5">
        <v>0</v>
      </c>
      <c r="D5">
        <v>0</v>
      </c>
      <c r="E5">
        <v>0</v>
      </c>
      <c r="F5">
        <v>0</v>
      </c>
      <c r="I5" s="1">
        <v>0</v>
      </c>
      <c r="J5">
        <v>0</v>
      </c>
      <c r="K5">
        <v>0</v>
      </c>
      <c r="L5">
        <v>0</v>
      </c>
      <c r="M5">
        <v>0</v>
      </c>
    </row>
    <row r="6" spans="2:13" x14ac:dyDescent="0.2">
      <c r="B6" s="1">
        <v>5.4888200000000004E-6</v>
      </c>
      <c r="C6" s="1">
        <f>1000*B6</f>
        <v>5.4888200000000002E-3</v>
      </c>
      <c r="D6" s="1">
        <v>9.4999999999999998E-3</v>
      </c>
      <c r="E6" s="1">
        <f>1000*F6</f>
        <v>5.4888200000000002E-3</v>
      </c>
      <c r="F6" s="1">
        <v>5.4888200000000004E-6</v>
      </c>
      <c r="G6" s="1"/>
      <c r="I6" s="1">
        <v>-5.4888200000000004E-6</v>
      </c>
      <c r="J6">
        <f>-I6*1000</f>
        <v>5.4888200000000002E-3</v>
      </c>
      <c r="K6" s="1">
        <v>9.4999999999999998E-3</v>
      </c>
      <c r="L6" s="1">
        <v>-5.4888200000000004E-6</v>
      </c>
      <c r="M6" s="1">
        <f>-L6*1000</f>
        <v>5.4888200000000002E-3</v>
      </c>
    </row>
    <row r="7" spans="2:13" x14ac:dyDescent="0.2">
      <c r="B7" s="1">
        <v>1.09776E-5</v>
      </c>
      <c r="C7" s="1">
        <f t="shared" ref="C7:C25" si="0">1000*B7</f>
        <v>1.0977600000000001E-2</v>
      </c>
      <c r="D7" s="1">
        <v>1.9E-2</v>
      </c>
      <c r="E7" s="1">
        <f t="shared" ref="E7:E25" si="1">1000*F7</f>
        <v>1.0977600000000001E-2</v>
      </c>
      <c r="F7" s="1">
        <v>1.09776E-5</v>
      </c>
      <c r="G7" s="1"/>
      <c r="I7" s="1">
        <v>-1.09776E-5</v>
      </c>
      <c r="J7">
        <f t="shared" ref="J7:J25" si="2">-I7*1000</f>
        <v>1.0977600000000001E-2</v>
      </c>
      <c r="K7" s="1">
        <v>1.9E-2</v>
      </c>
      <c r="L7" s="1">
        <v>-1.09776E-5</v>
      </c>
      <c r="M7" s="1">
        <f t="shared" ref="M7:M25" si="3">-L7*1000</f>
        <v>1.0977600000000001E-2</v>
      </c>
    </row>
    <row r="8" spans="2:13" x14ac:dyDescent="0.2">
      <c r="B8" s="1">
        <v>1.6466499999999999E-5</v>
      </c>
      <c r="C8" s="1">
        <f t="shared" si="0"/>
        <v>1.6466499999999998E-2</v>
      </c>
      <c r="D8" s="1">
        <v>2.8500000000000001E-2</v>
      </c>
      <c r="E8" s="1">
        <f t="shared" si="1"/>
        <v>1.6466499999999998E-2</v>
      </c>
      <c r="F8" s="1">
        <v>1.6466499999999999E-5</v>
      </c>
      <c r="G8" s="1"/>
      <c r="I8" s="1">
        <v>-1.6466499999999999E-5</v>
      </c>
      <c r="J8">
        <f t="shared" si="2"/>
        <v>1.6466499999999998E-2</v>
      </c>
      <c r="K8" s="1">
        <v>2.8500000000000001E-2</v>
      </c>
      <c r="L8" s="1">
        <v>-1.6466499999999999E-5</v>
      </c>
      <c r="M8" s="1">
        <f t="shared" si="3"/>
        <v>1.6466499999999998E-2</v>
      </c>
    </row>
    <row r="9" spans="2:13" x14ac:dyDescent="0.2">
      <c r="B9" s="1">
        <v>2.19553E-5</v>
      </c>
      <c r="C9" s="1">
        <f t="shared" si="0"/>
        <v>2.1955300000000001E-2</v>
      </c>
      <c r="D9" s="1">
        <v>3.7999999999999999E-2</v>
      </c>
      <c r="E9" s="1">
        <f t="shared" si="1"/>
        <v>2.1955300000000001E-2</v>
      </c>
      <c r="F9" s="1">
        <v>2.19553E-5</v>
      </c>
      <c r="G9" s="1"/>
      <c r="I9" s="1">
        <v>-2.19553E-5</v>
      </c>
      <c r="J9">
        <f t="shared" si="2"/>
        <v>2.1955300000000001E-2</v>
      </c>
      <c r="K9" s="1">
        <v>3.7999999999999999E-2</v>
      </c>
      <c r="L9" s="1">
        <v>-2.19553E-5</v>
      </c>
      <c r="M9" s="1">
        <f t="shared" si="3"/>
        <v>2.1955300000000001E-2</v>
      </c>
    </row>
    <row r="10" spans="2:13" x14ac:dyDescent="0.2">
      <c r="B10" s="1">
        <v>2.74441E-5</v>
      </c>
      <c r="C10" s="1">
        <f t="shared" si="0"/>
        <v>2.7444099999999999E-2</v>
      </c>
      <c r="D10" s="1">
        <v>4.7500000000000001E-2</v>
      </c>
      <c r="E10" s="1">
        <f t="shared" si="1"/>
        <v>2.7444099999999999E-2</v>
      </c>
      <c r="F10" s="1">
        <v>2.74441E-5</v>
      </c>
      <c r="G10" s="1"/>
      <c r="I10" s="1">
        <v>-2.74441E-5</v>
      </c>
      <c r="J10">
        <f t="shared" si="2"/>
        <v>2.7444099999999999E-2</v>
      </c>
      <c r="K10" s="1">
        <v>4.7500000000000001E-2</v>
      </c>
      <c r="L10" s="1">
        <v>-2.74441E-5</v>
      </c>
      <c r="M10" s="1">
        <f t="shared" si="3"/>
        <v>2.7444099999999999E-2</v>
      </c>
    </row>
    <row r="11" spans="2:13" x14ac:dyDescent="0.2">
      <c r="B11" s="1">
        <v>3.2932899999999998E-5</v>
      </c>
      <c r="C11" s="1">
        <f t="shared" si="0"/>
        <v>3.2932900000000001E-2</v>
      </c>
      <c r="D11" s="1">
        <v>5.7000000000000002E-2</v>
      </c>
      <c r="E11" s="1">
        <f t="shared" si="1"/>
        <v>3.2932900000000001E-2</v>
      </c>
      <c r="F11" s="1">
        <v>3.2932899999999998E-5</v>
      </c>
      <c r="G11" s="1"/>
      <c r="I11" s="1">
        <v>-3.2932899999999998E-5</v>
      </c>
      <c r="J11">
        <f t="shared" si="2"/>
        <v>3.2932900000000001E-2</v>
      </c>
      <c r="K11" s="1">
        <v>5.7000000000000002E-2</v>
      </c>
      <c r="L11" s="1">
        <v>-3.2932899999999998E-5</v>
      </c>
      <c r="M11" s="1">
        <f t="shared" si="3"/>
        <v>3.2932900000000001E-2</v>
      </c>
    </row>
    <row r="12" spans="2:13" x14ac:dyDescent="0.2">
      <c r="B12" s="1">
        <v>3.8421699999999998E-5</v>
      </c>
      <c r="C12" s="1">
        <f t="shared" si="0"/>
        <v>3.8421699999999996E-2</v>
      </c>
      <c r="D12" s="1">
        <v>6.6500000000000004E-2</v>
      </c>
      <c r="E12" s="1">
        <f t="shared" si="1"/>
        <v>3.8421699999999996E-2</v>
      </c>
      <c r="F12" s="1">
        <v>3.8421699999999998E-5</v>
      </c>
      <c r="G12" s="1"/>
      <c r="I12" s="1">
        <v>-3.8421699999999998E-5</v>
      </c>
      <c r="J12">
        <f t="shared" si="2"/>
        <v>3.8421699999999996E-2</v>
      </c>
      <c r="K12" s="1">
        <v>6.6500000000000004E-2</v>
      </c>
      <c r="L12" s="1">
        <v>-3.8421699999999998E-5</v>
      </c>
      <c r="M12" s="1">
        <f t="shared" si="3"/>
        <v>3.8421699999999996E-2</v>
      </c>
    </row>
    <row r="13" spans="2:13" x14ac:dyDescent="0.2">
      <c r="B13" s="1">
        <v>4.3910499999999999E-5</v>
      </c>
      <c r="C13" s="1">
        <f t="shared" si="0"/>
        <v>4.3910499999999998E-2</v>
      </c>
      <c r="D13" s="1">
        <v>7.5999999999999998E-2</v>
      </c>
      <c r="E13" s="1">
        <f t="shared" si="1"/>
        <v>4.3910499999999998E-2</v>
      </c>
      <c r="F13" s="1">
        <v>4.3910499999999999E-5</v>
      </c>
      <c r="G13" s="1"/>
      <c r="I13" s="1">
        <v>-4.3910499999999999E-5</v>
      </c>
      <c r="J13">
        <f t="shared" si="2"/>
        <v>4.3910499999999998E-2</v>
      </c>
      <c r="K13" s="1">
        <v>7.5999999999999998E-2</v>
      </c>
      <c r="L13" s="1">
        <v>-4.3910499999999999E-5</v>
      </c>
      <c r="M13" s="1">
        <f t="shared" si="3"/>
        <v>4.3910499999999998E-2</v>
      </c>
    </row>
    <row r="14" spans="2:13" x14ac:dyDescent="0.2">
      <c r="B14" s="1">
        <v>4.93994E-5</v>
      </c>
      <c r="C14" s="1">
        <f t="shared" si="0"/>
        <v>4.9399400000000003E-2</v>
      </c>
      <c r="D14" s="1">
        <v>8.5500000000000007E-2</v>
      </c>
      <c r="E14" s="1">
        <f t="shared" si="1"/>
        <v>4.9399400000000003E-2</v>
      </c>
      <c r="F14" s="1">
        <v>4.93994E-5</v>
      </c>
      <c r="G14" s="1"/>
      <c r="I14" s="1">
        <v>-4.93994E-5</v>
      </c>
      <c r="J14">
        <f t="shared" si="2"/>
        <v>4.9399400000000003E-2</v>
      </c>
      <c r="K14" s="1">
        <v>8.5500000000000007E-2</v>
      </c>
      <c r="L14" s="1">
        <v>-4.93994E-5</v>
      </c>
      <c r="M14" s="1">
        <f t="shared" si="3"/>
        <v>4.9399400000000003E-2</v>
      </c>
    </row>
    <row r="15" spans="2:13" x14ac:dyDescent="0.2">
      <c r="B15" s="1">
        <v>5.4888200000000001E-5</v>
      </c>
      <c r="C15" s="1">
        <f t="shared" si="0"/>
        <v>5.4888199999999998E-2</v>
      </c>
      <c r="D15" s="1">
        <v>9.5000000000000001E-2</v>
      </c>
      <c r="E15" s="1">
        <f t="shared" si="1"/>
        <v>5.4888199999999998E-2</v>
      </c>
      <c r="F15" s="1">
        <v>5.4888200000000001E-5</v>
      </c>
      <c r="G15" s="1"/>
      <c r="I15" s="1">
        <v>-5.4888200000000001E-5</v>
      </c>
      <c r="J15">
        <f t="shared" si="2"/>
        <v>5.4888199999999998E-2</v>
      </c>
      <c r="K15" s="1">
        <v>9.5000000000000001E-2</v>
      </c>
      <c r="L15" s="1">
        <v>-5.4888200000000001E-5</v>
      </c>
      <c r="M15" s="1">
        <f t="shared" si="3"/>
        <v>5.4888199999999998E-2</v>
      </c>
    </row>
    <row r="16" spans="2:13" x14ac:dyDescent="0.2">
      <c r="B16" s="1">
        <v>6.0377000000000001E-5</v>
      </c>
      <c r="C16" s="1">
        <f t="shared" si="0"/>
        <v>6.0377E-2</v>
      </c>
      <c r="D16" s="1">
        <v>0.1045</v>
      </c>
      <c r="E16" s="1">
        <f t="shared" si="1"/>
        <v>6.0377E-2</v>
      </c>
      <c r="F16" s="1">
        <v>6.0377000000000001E-5</v>
      </c>
      <c r="G16" s="1"/>
      <c r="I16" s="1">
        <v>-6.0377000000000001E-5</v>
      </c>
      <c r="J16">
        <f t="shared" si="2"/>
        <v>6.0377E-2</v>
      </c>
      <c r="K16" s="1">
        <v>0.1045</v>
      </c>
      <c r="L16" s="1">
        <v>-6.0377000000000001E-5</v>
      </c>
      <c r="M16" s="1">
        <f t="shared" si="3"/>
        <v>6.0377E-2</v>
      </c>
    </row>
    <row r="17" spans="2:18" x14ac:dyDescent="0.2">
      <c r="B17" s="1">
        <v>6.5865799999999995E-5</v>
      </c>
      <c r="C17" s="1">
        <f t="shared" si="0"/>
        <v>6.5865800000000002E-2</v>
      </c>
      <c r="D17" s="1">
        <v>0.114</v>
      </c>
      <c r="E17" s="1">
        <f t="shared" si="1"/>
        <v>6.6231300000000007E-2</v>
      </c>
      <c r="F17" s="1">
        <v>6.6231300000000004E-5</v>
      </c>
      <c r="G17" s="1"/>
      <c r="I17" s="1">
        <v>-6.5865799999999995E-5</v>
      </c>
      <c r="J17">
        <f t="shared" si="2"/>
        <v>6.5865800000000002E-2</v>
      </c>
      <c r="K17" s="1">
        <v>0.114</v>
      </c>
      <c r="L17" s="1">
        <v>-6.6231300000000004E-5</v>
      </c>
      <c r="M17" s="1">
        <f t="shared" si="3"/>
        <v>6.6231300000000007E-2</v>
      </c>
    </row>
    <row r="18" spans="2:18" x14ac:dyDescent="0.2">
      <c r="B18" s="1">
        <v>7.1354599999999996E-5</v>
      </c>
      <c r="C18" s="1">
        <f t="shared" si="0"/>
        <v>7.135459999999999E-2</v>
      </c>
      <c r="D18" s="1">
        <v>0.1235</v>
      </c>
      <c r="E18" s="1">
        <f t="shared" si="1"/>
        <v>7.3031200000000004E-2</v>
      </c>
      <c r="F18" s="1">
        <v>7.30312E-5</v>
      </c>
      <c r="G18" s="1"/>
      <c r="I18" s="1">
        <v>-7.1354599999999996E-5</v>
      </c>
      <c r="J18">
        <f t="shared" si="2"/>
        <v>7.135459999999999E-2</v>
      </c>
      <c r="K18" s="1">
        <v>0.1235</v>
      </c>
      <c r="L18" s="1">
        <v>-7.30312E-5</v>
      </c>
      <c r="M18" s="1">
        <f t="shared" si="3"/>
        <v>7.3031200000000004E-2</v>
      </c>
      <c r="P18" s="12" t="s">
        <v>36</v>
      </c>
      <c r="Q18" s="12"/>
      <c r="R18" s="12"/>
    </row>
    <row r="19" spans="2:18" x14ac:dyDescent="0.2">
      <c r="B19" s="1">
        <v>7.6843399999999997E-5</v>
      </c>
      <c r="C19" s="1">
        <f t="shared" si="0"/>
        <v>7.6843399999999992E-2</v>
      </c>
      <c r="D19" s="1">
        <v>0.13300000000000001</v>
      </c>
      <c r="E19" s="1">
        <f t="shared" si="1"/>
        <v>8.0767500000000006E-2</v>
      </c>
      <c r="F19" s="1">
        <v>8.0767500000000002E-5</v>
      </c>
      <c r="G19" s="1"/>
      <c r="I19" s="1">
        <v>-7.6843399999999997E-5</v>
      </c>
      <c r="J19">
        <f t="shared" si="2"/>
        <v>7.6843399999999992E-2</v>
      </c>
      <c r="K19" s="1">
        <v>0.13300000000000001</v>
      </c>
      <c r="L19" s="1">
        <v>-8.0767500000000002E-5</v>
      </c>
      <c r="M19" s="1">
        <f t="shared" si="3"/>
        <v>8.0767500000000006E-2</v>
      </c>
      <c r="P19" t="s">
        <v>2</v>
      </c>
      <c r="Q19" t="s">
        <v>35</v>
      </c>
      <c r="R19" t="s">
        <v>0</v>
      </c>
    </row>
    <row r="20" spans="2:18" x14ac:dyDescent="0.2">
      <c r="B20" s="1">
        <v>8.2332300000000005E-5</v>
      </c>
      <c r="C20" s="1">
        <f t="shared" si="0"/>
        <v>8.2332300000000011E-2</v>
      </c>
      <c r="D20" s="1">
        <v>0.14249999999999999</v>
      </c>
      <c r="E20" s="1">
        <f t="shared" si="1"/>
        <v>8.9865500000000001E-2</v>
      </c>
      <c r="F20" s="1">
        <v>8.9865500000000002E-5</v>
      </c>
      <c r="G20" s="1"/>
      <c r="I20" s="1">
        <v>-8.2332300000000005E-5</v>
      </c>
      <c r="J20">
        <f t="shared" si="2"/>
        <v>8.2332300000000011E-2</v>
      </c>
      <c r="K20" s="1">
        <v>0.14249999999999999</v>
      </c>
      <c r="L20" s="1">
        <v>-8.9865399999999995E-5</v>
      </c>
      <c r="M20" s="1">
        <f t="shared" si="3"/>
        <v>8.9865399999999998E-2</v>
      </c>
      <c r="P20">
        <v>0</v>
      </c>
      <c r="Q20">
        <v>0</v>
      </c>
      <c r="R20">
        <v>0</v>
      </c>
    </row>
    <row r="21" spans="2:18" x14ac:dyDescent="0.2">
      <c r="B21" s="1">
        <v>8.7821100000000005E-5</v>
      </c>
      <c r="C21" s="1">
        <f t="shared" si="0"/>
        <v>8.7821099999999999E-2</v>
      </c>
      <c r="D21" s="1">
        <v>0.152</v>
      </c>
      <c r="E21" s="1">
        <f t="shared" si="1"/>
        <v>0.10061200000000001</v>
      </c>
      <c r="F21" s="1">
        <v>1.0061200000000001E-4</v>
      </c>
      <c r="G21" s="1"/>
      <c r="I21" s="1">
        <v>-8.7821100000000005E-5</v>
      </c>
      <c r="J21">
        <f t="shared" si="2"/>
        <v>8.7821099999999999E-2</v>
      </c>
      <c r="K21" s="1">
        <v>0.152</v>
      </c>
      <c r="L21" s="1">
        <v>-1.0061200000000001E-4</v>
      </c>
      <c r="M21" s="1">
        <f t="shared" si="3"/>
        <v>0.10061200000000001</v>
      </c>
      <c r="P21" s="1">
        <v>-5.5465899999999997E-6</v>
      </c>
      <c r="Q21" s="1">
        <f>-P21*1000</f>
        <v>5.5465899999999997E-3</v>
      </c>
      <c r="R21" s="1">
        <v>9.5999999999999992E-3</v>
      </c>
    </row>
    <row r="22" spans="2:18" x14ac:dyDescent="0.2">
      <c r="B22" s="1">
        <v>9.3309900000000006E-5</v>
      </c>
      <c r="C22" s="1">
        <f t="shared" si="0"/>
        <v>9.3309900000000001E-2</v>
      </c>
      <c r="D22" s="1">
        <v>0.1615</v>
      </c>
      <c r="E22" s="1">
        <f t="shared" si="1"/>
        <v>0.113923</v>
      </c>
      <c r="F22" s="1">
        <v>1.13923E-4</v>
      </c>
      <c r="G22" s="1"/>
      <c r="I22" s="1">
        <v>-9.3309900000000006E-5</v>
      </c>
      <c r="J22">
        <f t="shared" si="2"/>
        <v>9.3309900000000001E-2</v>
      </c>
      <c r="K22" s="1">
        <v>0.1615</v>
      </c>
      <c r="L22" s="1">
        <v>-1.13923E-4</v>
      </c>
      <c r="M22" s="1">
        <f t="shared" si="3"/>
        <v>0.113923</v>
      </c>
      <c r="P22" s="1">
        <v>-1.7949200000000001E-5</v>
      </c>
      <c r="Q22" s="1">
        <f t="shared" ref="Q22:Q40" si="4">-P22*1000</f>
        <v>1.7949200000000002E-2</v>
      </c>
      <c r="R22" s="1">
        <v>3.1066300000000002E-2</v>
      </c>
    </row>
    <row r="23" spans="2:18" x14ac:dyDescent="0.2">
      <c r="B23" s="1">
        <v>9.8798700000000007E-5</v>
      </c>
      <c r="C23" s="1">
        <f t="shared" si="0"/>
        <v>9.8798700000000003E-2</v>
      </c>
      <c r="D23" s="1">
        <v>0.17100000000000001</v>
      </c>
      <c r="E23" s="1">
        <f t="shared" si="1"/>
        <v>0.13104100000000002</v>
      </c>
      <c r="F23" s="1">
        <v>1.3104100000000001E-4</v>
      </c>
      <c r="G23" s="1"/>
      <c r="I23" s="1">
        <v>-9.8798700000000007E-5</v>
      </c>
      <c r="J23">
        <f t="shared" si="2"/>
        <v>9.8798700000000003E-2</v>
      </c>
      <c r="K23" s="1">
        <v>0.17100000000000001</v>
      </c>
      <c r="L23" s="1">
        <v>-1.3104100000000001E-4</v>
      </c>
      <c r="M23" s="1">
        <f t="shared" si="3"/>
        <v>0.13104100000000002</v>
      </c>
      <c r="P23" s="1">
        <v>-4.5682100000000001E-5</v>
      </c>
      <c r="Q23" s="1">
        <f t="shared" si="4"/>
        <v>4.5682100000000003E-2</v>
      </c>
      <c r="R23" s="1">
        <v>7.9066300000000006E-2</v>
      </c>
    </row>
    <row r="24" spans="2:18" x14ac:dyDescent="0.2">
      <c r="B24" s="1">
        <v>1.04288E-4</v>
      </c>
      <c r="C24" s="1">
        <f t="shared" si="0"/>
        <v>0.10428800000000001</v>
      </c>
      <c r="D24" s="1">
        <v>0.18049999999999999</v>
      </c>
      <c r="E24" s="1">
        <f t="shared" si="1"/>
        <v>0.15507300000000002</v>
      </c>
      <c r="F24" s="1">
        <v>1.5507300000000001E-4</v>
      </c>
      <c r="G24" s="1"/>
      <c r="I24" s="1">
        <v>-1.04288E-4</v>
      </c>
      <c r="J24">
        <f t="shared" si="2"/>
        <v>0.10428800000000001</v>
      </c>
      <c r="K24" s="1">
        <v>0.18049999999999999</v>
      </c>
      <c r="L24" s="1">
        <v>-1.55072E-4</v>
      </c>
      <c r="M24" s="1">
        <f t="shared" si="3"/>
        <v>0.15507199999999999</v>
      </c>
      <c r="P24" s="1">
        <v>-1.06691E-4</v>
      </c>
      <c r="Q24" s="1">
        <f t="shared" si="4"/>
        <v>0.10669099999999999</v>
      </c>
      <c r="R24" s="1">
        <v>0.156528</v>
      </c>
    </row>
    <row r="25" spans="2:18" x14ac:dyDescent="0.2">
      <c r="B25" s="1">
        <v>1.09776E-4</v>
      </c>
      <c r="C25" s="1">
        <f t="shared" si="0"/>
        <v>0.109776</v>
      </c>
      <c r="D25" s="1">
        <v>0.19</v>
      </c>
      <c r="E25" s="1">
        <f t="shared" si="1"/>
        <v>0.20083699999999999</v>
      </c>
      <c r="F25" s="1">
        <v>2.0083699999999999E-4</v>
      </c>
      <c r="G25" s="1"/>
      <c r="I25" s="1">
        <v>-1.09776E-4</v>
      </c>
      <c r="J25">
        <f t="shared" si="2"/>
        <v>0.109776</v>
      </c>
      <c r="K25" s="1">
        <v>0.19</v>
      </c>
      <c r="L25" s="1">
        <v>-2.0083699999999999E-4</v>
      </c>
      <c r="M25" s="1">
        <f t="shared" si="3"/>
        <v>0.20083699999999999</v>
      </c>
      <c r="P25" s="1">
        <v>-1.7065200000000001E-4</v>
      </c>
      <c r="Q25" s="1">
        <f t="shared" si="4"/>
        <v>0.170652</v>
      </c>
      <c r="R25" s="1">
        <v>0.18457799999999999</v>
      </c>
    </row>
    <row r="26" spans="2:18" x14ac:dyDescent="0.2">
      <c r="P26" s="1">
        <v>-2.3113499999999999E-4</v>
      </c>
      <c r="Q26" s="1">
        <f t="shared" si="4"/>
        <v>0.23113499999999998</v>
      </c>
      <c r="R26" s="1">
        <v>0.191382</v>
      </c>
    </row>
    <row r="27" spans="2:18" x14ac:dyDescent="0.2">
      <c r="P27" s="1">
        <v>-2.8111199999999997E-4</v>
      </c>
      <c r="Q27" s="1">
        <f t="shared" si="4"/>
        <v>0.28111199999999997</v>
      </c>
      <c r="R27" s="1">
        <v>0.191743</v>
      </c>
    </row>
    <row r="28" spans="2:18" x14ac:dyDescent="0.2">
      <c r="P28" s="1">
        <v>-3.2824800000000001E-4</v>
      </c>
      <c r="Q28" s="1">
        <f t="shared" si="4"/>
        <v>0.32824799999999998</v>
      </c>
      <c r="R28" s="1">
        <v>0.19192699999999999</v>
      </c>
    </row>
    <row r="29" spans="2:18" x14ac:dyDescent="0.2">
      <c r="P29" s="1">
        <v>-3.7466099999999998E-4</v>
      </c>
      <c r="Q29" s="1">
        <f t="shared" si="4"/>
        <v>0.37466099999999997</v>
      </c>
      <c r="R29" s="1">
        <v>0.19200900000000001</v>
      </c>
    </row>
    <row r="30" spans="2:18" x14ac:dyDescent="0.2">
      <c r="P30" s="1">
        <v>-4.2098299999999999E-4</v>
      </c>
      <c r="Q30" s="1">
        <f t="shared" si="4"/>
        <v>0.420983</v>
      </c>
      <c r="R30" s="1">
        <v>0.19204299999999999</v>
      </c>
    </row>
    <row r="31" spans="2:18" x14ac:dyDescent="0.2">
      <c r="P31" s="1">
        <v>-4.6739500000000001E-4</v>
      </c>
      <c r="Q31" s="1">
        <f t="shared" si="4"/>
        <v>0.467395</v>
      </c>
      <c r="R31" s="1">
        <v>0.192056</v>
      </c>
    </row>
    <row r="32" spans="2:18" x14ac:dyDescent="0.2">
      <c r="P32" s="1">
        <v>-5.1393299999999995E-4</v>
      </c>
      <c r="Q32" s="1">
        <f t="shared" si="4"/>
        <v>0.51393299999999997</v>
      </c>
      <c r="R32" s="1">
        <v>0.19205900000000001</v>
      </c>
    </row>
    <row r="33" spans="16:18" x14ac:dyDescent="0.2">
      <c r="P33" s="1">
        <v>-5.6058900000000001E-4</v>
      </c>
      <c r="Q33" s="1">
        <f t="shared" si="4"/>
        <v>0.560589</v>
      </c>
      <c r="R33" s="1">
        <v>0.19205900000000001</v>
      </c>
    </row>
    <row r="34" spans="16:18" x14ac:dyDescent="0.2">
      <c r="P34" s="1">
        <v>-6.07344E-4</v>
      </c>
      <c r="Q34" s="1">
        <f t="shared" si="4"/>
        <v>0.60734399999999999</v>
      </c>
      <c r="R34" s="1">
        <v>0.19205700000000001</v>
      </c>
    </row>
    <row r="35" spans="16:18" x14ac:dyDescent="0.2">
      <c r="P35" s="1">
        <v>-6.5418300000000002E-4</v>
      </c>
      <c r="Q35" s="1">
        <f t="shared" si="4"/>
        <v>0.65418300000000007</v>
      </c>
      <c r="R35" s="1">
        <v>0.192054</v>
      </c>
    </row>
    <row r="36" spans="16:18" x14ac:dyDescent="0.2">
      <c r="P36" s="1">
        <v>-7.0109100000000004E-4</v>
      </c>
      <c r="Q36" s="1">
        <f t="shared" si="4"/>
        <v>0.70109100000000002</v>
      </c>
      <c r="R36" s="1">
        <v>0.192052</v>
      </c>
    </row>
    <row r="37" spans="16:18" x14ac:dyDescent="0.2">
      <c r="P37" s="1">
        <v>-7.4806000000000004E-4</v>
      </c>
      <c r="Q37" s="1">
        <f t="shared" si="4"/>
        <v>0.74806000000000006</v>
      </c>
      <c r="R37" s="1">
        <v>0.19205</v>
      </c>
    </row>
    <row r="38" spans="16:18" x14ac:dyDescent="0.2">
      <c r="P38" s="1">
        <v>-7.95081E-4</v>
      </c>
      <c r="Q38" s="1">
        <f t="shared" si="4"/>
        <v>0.79508100000000004</v>
      </c>
      <c r="R38" s="1">
        <v>0.192048</v>
      </c>
    </row>
    <row r="39" spans="16:18" x14ac:dyDescent="0.2">
      <c r="P39" s="1">
        <v>-8.4214700000000001E-4</v>
      </c>
      <c r="Q39" s="1">
        <f t="shared" si="4"/>
        <v>0.84214699999999998</v>
      </c>
      <c r="R39" s="1">
        <v>0.192047</v>
      </c>
    </row>
    <row r="40" spans="16:18" x14ac:dyDescent="0.2">
      <c r="P40" s="1">
        <v>-8.8925199999999999E-4</v>
      </c>
      <c r="Q40" s="1">
        <f t="shared" si="4"/>
        <v>0.88925200000000004</v>
      </c>
      <c r="R40" s="1">
        <v>0.19204599999999999</v>
      </c>
    </row>
  </sheetData>
  <mergeCells count="9">
    <mergeCell ref="P18:R18"/>
    <mergeCell ref="B2:F2"/>
    <mergeCell ref="I2:M2"/>
    <mergeCell ref="B3:C3"/>
    <mergeCell ref="D3:D4"/>
    <mergeCell ref="E3:F3"/>
    <mergeCell ref="I3:J3"/>
    <mergeCell ref="K3:K4"/>
    <mergeCell ref="L3:M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30E1-13A9-4301-BAE5-255AB6E45436}">
  <dimension ref="C3:Q32"/>
  <sheetViews>
    <sheetView workbookViewId="0">
      <selection activeCell="T29" sqref="T29"/>
    </sheetView>
  </sheetViews>
  <sheetFormatPr baseColWidth="10" defaultColWidth="8.83203125" defaultRowHeight="15" x14ac:dyDescent="0.2"/>
  <cols>
    <col min="3" max="3" width="9.1640625" bestFit="1" customWidth="1"/>
    <col min="9" max="9" width="9.1640625" bestFit="1" customWidth="1"/>
    <col min="14" max="14" width="9.1640625" bestFit="1" customWidth="1"/>
  </cols>
  <sheetData>
    <row r="3" spans="3:17" x14ac:dyDescent="0.2">
      <c r="C3" s="12" t="s">
        <v>39</v>
      </c>
      <c r="D3" s="12"/>
      <c r="E3" s="12"/>
      <c r="F3" s="12"/>
      <c r="I3" s="12" t="s">
        <v>41</v>
      </c>
      <c r="J3" s="12"/>
      <c r="K3" s="12"/>
      <c r="L3" s="12"/>
      <c r="N3" s="12" t="s">
        <v>42</v>
      </c>
      <c r="O3" s="12"/>
      <c r="P3" s="12"/>
      <c r="Q3" s="12"/>
    </row>
    <row r="4" spans="3:17" x14ac:dyDescent="0.2">
      <c r="C4" t="s">
        <v>27</v>
      </c>
      <c r="D4" t="s">
        <v>26</v>
      </c>
      <c r="E4" t="s">
        <v>0</v>
      </c>
      <c r="F4" t="s">
        <v>40</v>
      </c>
      <c r="I4" t="s">
        <v>27</v>
      </c>
      <c r="J4" t="s">
        <v>26</v>
      </c>
      <c r="K4" t="s">
        <v>0</v>
      </c>
      <c r="L4" t="s">
        <v>40</v>
      </c>
      <c r="N4" t="s">
        <v>27</v>
      </c>
      <c r="O4" t="s">
        <v>26</v>
      </c>
      <c r="P4" t="s">
        <v>0</v>
      </c>
      <c r="Q4" t="s">
        <v>40</v>
      </c>
    </row>
    <row r="5" spans="3:17" x14ac:dyDescent="0.2">
      <c r="C5">
        <v>0</v>
      </c>
      <c r="D5">
        <v>0</v>
      </c>
      <c r="E5">
        <v>0</v>
      </c>
      <c r="F5">
        <f>100*E5</f>
        <v>0</v>
      </c>
      <c r="I5">
        <v>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</row>
    <row r="6" spans="3:17" x14ac:dyDescent="0.2">
      <c r="C6" s="1">
        <v>-7.5050300000000002E-3</v>
      </c>
      <c r="D6" s="1">
        <f>-C6</f>
        <v>7.5050300000000002E-3</v>
      </c>
      <c r="E6" s="1">
        <v>0.1</v>
      </c>
      <c r="F6">
        <f t="shared" ref="F6:F32" si="0">100*E6</f>
        <v>10</v>
      </c>
      <c r="I6" s="1">
        <v>-7.5050300000000002E-3</v>
      </c>
      <c r="J6" s="1">
        <f>-I6</f>
        <v>7.5050300000000002E-3</v>
      </c>
      <c r="K6" s="1">
        <v>0.1</v>
      </c>
      <c r="L6" s="1">
        <f>100*K6</f>
        <v>10</v>
      </c>
      <c r="N6" s="1">
        <v>-7.5152500000000002E-3</v>
      </c>
      <c r="O6" s="1">
        <f>-N6</f>
        <v>7.5152500000000002E-3</v>
      </c>
      <c r="P6" s="1">
        <v>0.1</v>
      </c>
      <c r="Q6" s="1">
        <f>100*P6</f>
        <v>10</v>
      </c>
    </row>
    <row r="7" spans="3:17" x14ac:dyDescent="0.2">
      <c r="C7" s="1">
        <v>-1.50101E-2</v>
      </c>
      <c r="D7" s="1">
        <f t="shared" ref="D7:D32" si="1">-C7</f>
        <v>1.50101E-2</v>
      </c>
      <c r="E7" s="1">
        <v>0.2</v>
      </c>
      <c r="F7">
        <f t="shared" si="0"/>
        <v>20</v>
      </c>
      <c r="I7" s="1">
        <v>-2.5888499999999998E-2</v>
      </c>
      <c r="J7" s="1">
        <f t="shared" ref="J7:J19" si="2">-I7</f>
        <v>2.5888499999999998E-2</v>
      </c>
      <c r="K7" s="1">
        <v>0.34494900000000001</v>
      </c>
      <c r="L7" s="1">
        <f t="shared" ref="L7:L19" si="3">100*K7</f>
        <v>34.494900000000001</v>
      </c>
      <c r="N7" s="1">
        <v>-2.59238E-2</v>
      </c>
      <c r="O7" s="1">
        <f t="shared" ref="O7:O17" si="4">-N7</f>
        <v>2.59238E-2</v>
      </c>
      <c r="P7" s="1">
        <v>0.34494900000000001</v>
      </c>
      <c r="Q7" s="1">
        <f t="shared" ref="Q7:Q17" si="5">100*P7</f>
        <v>34.494900000000001</v>
      </c>
    </row>
    <row r="8" spans="3:17" x14ac:dyDescent="0.2">
      <c r="C8" s="1">
        <v>-2.25151E-2</v>
      </c>
      <c r="D8" s="1">
        <f t="shared" si="1"/>
        <v>2.25151E-2</v>
      </c>
      <c r="E8" s="1">
        <v>0.3</v>
      </c>
      <c r="F8">
        <f t="shared" si="0"/>
        <v>30</v>
      </c>
      <c r="I8" s="1">
        <v>-7.0918700000000001E-2</v>
      </c>
      <c r="J8" s="1">
        <f t="shared" si="2"/>
        <v>7.0918700000000001E-2</v>
      </c>
      <c r="K8" s="1">
        <v>0.94494900000000004</v>
      </c>
      <c r="L8" s="1">
        <f t="shared" si="3"/>
        <v>94.494900000000001</v>
      </c>
      <c r="N8" s="1">
        <v>-7.1015200000000001E-2</v>
      </c>
      <c r="O8" s="1">
        <f t="shared" si="4"/>
        <v>7.1015200000000001E-2</v>
      </c>
      <c r="P8" s="1">
        <v>0.94494900000000004</v>
      </c>
      <c r="Q8" s="1">
        <f t="shared" si="5"/>
        <v>94.494900000000001</v>
      </c>
    </row>
    <row r="9" spans="3:17" x14ac:dyDescent="0.2">
      <c r="C9" s="1">
        <v>-3.0020100000000001E-2</v>
      </c>
      <c r="D9" s="1">
        <f t="shared" si="1"/>
        <v>3.0020100000000001E-2</v>
      </c>
      <c r="E9" s="1">
        <v>0.4</v>
      </c>
      <c r="F9">
        <f t="shared" si="0"/>
        <v>40</v>
      </c>
      <c r="I9" s="1">
        <v>-0.18521299999999999</v>
      </c>
      <c r="J9" s="1">
        <f t="shared" si="2"/>
        <v>0.18521299999999999</v>
      </c>
      <c r="K9" s="1">
        <v>2.1167600000000002</v>
      </c>
      <c r="L9" s="1">
        <f t="shared" si="3"/>
        <v>211.67600000000002</v>
      </c>
      <c r="N9" s="1">
        <v>-0.18735399999999999</v>
      </c>
      <c r="O9" s="1">
        <f t="shared" si="4"/>
        <v>0.18735399999999999</v>
      </c>
      <c r="P9" s="1">
        <v>2.0686499999999999</v>
      </c>
      <c r="Q9" s="1">
        <f t="shared" si="5"/>
        <v>206.86499999999998</v>
      </c>
    </row>
    <row r="10" spans="3:17" x14ac:dyDescent="0.2">
      <c r="C10" s="1">
        <v>-3.7525099999999999E-2</v>
      </c>
      <c r="D10" s="1">
        <f t="shared" si="1"/>
        <v>3.7525099999999999E-2</v>
      </c>
      <c r="E10" s="1">
        <v>0.5</v>
      </c>
      <c r="F10">
        <f t="shared" si="0"/>
        <v>50</v>
      </c>
      <c r="I10" s="1">
        <v>-0.31888499999999997</v>
      </c>
      <c r="J10" s="1">
        <f t="shared" si="2"/>
        <v>0.31888499999999997</v>
      </c>
      <c r="K10" s="1">
        <v>2.4295399999999998</v>
      </c>
      <c r="L10" s="1">
        <f t="shared" si="3"/>
        <v>242.95399999999998</v>
      </c>
      <c r="N10" s="1">
        <v>-0.31725799999999998</v>
      </c>
      <c r="O10" s="1">
        <f t="shared" si="4"/>
        <v>0.31725799999999998</v>
      </c>
      <c r="P10" s="1">
        <v>2.3544200000000002</v>
      </c>
      <c r="Q10" s="1">
        <f t="shared" si="5"/>
        <v>235.44200000000001</v>
      </c>
    </row>
    <row r="11" spans="3:17" x14ac:dyDescent="0.2">
      <c r="C11" s="1">
        <v>-4.5030199999999999E-2</v>
      </c>
      <c r="D11" s="1">
        <f t="shared" si="1"/>
        <v>4.5030199999999999E-2</v>
      </c>
      <c r="E11" s="1">
        <v>0.6</v>
      </c>
      <c r="F11">
        <f t="shared" si="0"/>
        <v>60</v>
      </c>
      <c r="I11" s="1">
        <v>-0.46178200000000003</v>
      </c>
      <c r="J11" s="1">
        <f t="shared" si="2"/>
        <v>0.46178200000000003</v>
      </c>
      <c r="K11" s="1">
        <v>2.5157400000000001</v>
      </c>
      <c r="L11" s="1">
        <f t="shared" si="3"/>
        <v>251.57400000000001</v>
      </c>
      <c r="N11" s="1">
        <v>-0.45638099999999998</v>
      </c>
      <c r="O11" s="1">
        <f t="shared" si="4"/>
        <v>0.45638099999999998</v>
      </c>
      <c r="P11" s="1">
        <v>2.46678</v>
      </c>
      <c r="Q11" s="1">
        <f t="shared" si="5"/>
        <v>246.678</v>
      </c>
    </row>
    <row r="12" spans="3:17" x14ac:dyDescent="0.2">
      <c r="C12" s="1">
        <v>-5.2535199999999997E-2</v>
      </c>
      <c r="D12" s="1">
        <f t="shared" si="1"/>
        <v>5.2535199999999997E-2</v>
      </c>
      <c r="E12" s="1">
        <v>0.7</v>
      </c>
      <c r="F12">
        <f t="shared" si="0"/>
        <v>70</v>
      </c>
      <c r="I12" s="1">
        <v>-0.63485100000000005</v>
      </c>
      <c r="J12" s="1">
        <f t="shared" si="2"/>
        <v>0.63485100000000005</v>
      </c>
      <c r="K12" s="1">
        <v>2.5440499999999999</v>
      </c>
      <c r="L12" s="1">
        <f t="shared" si="3"/>
        <v>254.405</v>
      </c>
      <c r="N12" s="1">
        <v>-0.59765800000000002</v>
      </c>
      <c r="O12" s="1">
        <f t="shared" si="4"/>
        <v>0.59765800000000002</v>
      </c>
      <c r="P12" s="1">
        <v>2.5324</v>
      </c>
      <c r="Q12" s="1">
        <f t="shared" si="5"/>
        <v>253.24</v>
      </c>
    </row>
    <row r="13" spans="3:17" x14ac:dyDescent="0.2">
      <c r="C13" s="1">
        <v>-6.0040200000000002E-2</v>
      </c>
      <c r="D13" s="1">
        <f t="shared" si="1"/>
        <v>6.0040200000000002E-2</v>
      </c>
      <c r="E13" s="1">
        <v>0.8</v>
      </c>
      <c r="F13">
        <f t="shared" si="0"/>
        <v>80</v>
      </c>
      <c r="I13" s="1">
        <v>-0.846862</v>
      </c>
      <c r="J13" s="1">
        <f t="shared" si="2"/>
        <v>0.846862</v>
      </c>
      <c r="K13" s="1">
        <v>2.5712600000000001</v>
      </c>
      <c r="L13" s="1">
        <f t="shared" si="3"/>
        <v>257.12600000000003</v>
      </c>
      <c r="N13" s="1">
        <v>-0.81116500000000002</v>
      </c>
      <c r="O13" s="1">
        <f t="shared" si="4"/>
        <v>0.81116500000000002</v>
      </c>
      <c r="P13" s="1">
        <v>2.5862400000000001</v>
      </c>
      <c r="Q13" s="1">
        <f t="shared" si="5"/>
        <v>258.62400000000002</v>
      </c>
    </row>
    <row r="14" spans="3:17" x14ac:dyDescent="0.2">
      <c r="C14" s="1">
        <v>-6.75452E-2</v>
      </c>
      <c r="D14" s="1">
        <f t="shared" si="1"/>
        <v>6.75452E-2</v>
      </c>
      <c r="E14" s="1">
        <v>0.9</v>
      </c>
      <c r="F14">
        <f t="shared" si="0"/>
        <v>90</v>
      </c>
      <c r="I14" s="1">
        <v>-1.10686</v>
      </c>
      <c r="J14" s="1">
        <f t="shared" si="2"/>
        <v>1.10686</v>
      </c>
      <c r="K14" s="1">
        <v>2.5909800000000001</v>
      </c>
      <c r="L14" s="1">
        <f t="shared" si="3"/>
        <v>259.09800000000001</v>
      </c>
      <c r="N14" s="1">
        <v>-1.07036</v>
      </c>
      <c r="O14" s="1">
        <f t="shared" si="4"/>
        <v>1.07036</v>
      </c>
      <c r="P14" s="1">
        <v>2.6038700000000001</v>
      </c>
      <c r="Q14" s="1">
        <f t="shared" si="5"/>
        <v>260.387</v>
      </c>
    </row>
    <row r="15" spans="3:17" x14ac:dyDescent="0.2">
      <c r="C15" s="1">
        <v>-7.50503E-2</v>
      </c>
      <c r="D15" s="1">
        <f t="shared" si="1"/>
        <v>7.50503E-2</v>
      </c>
      <c r="E15" s="1">
        <v>1</v>
      </c>
      <c r="F15">
        <f t="shared" si="0"/>
        <v>100</v>
      </c>
      <c r="I15" s="1">
        <v>-1.42333</v>
      </c>
      <c r="J15" s="1">
        <f t="shared" si="2"/>
        <v>1.42333</v>
      </c>
      <c r="K15" s="1">
        <v>2.6043500000000002</v>
      </c>
      <c r="L15" s="1">
        <f t="shared" si="3"/>
        <v>260.435</v>
      </c>
      <c r="N15" s="1">
        <v>-1.2261599999999999</v>
      </c>
      <c r="O15" s="1">
        <f t="shared" si="4"/>
        <v>1.2261599999999999</v>
      </c>
      <c r="P15" s="1">
        <v>2.5961799999999999</v>
      </c>
      <c r="Q15" s="1">
        <f t="shared" si="5"/>
        <v>259.61799999999999</v>
      </c>
    </row>
    <row r="16" spans="3:17" x14ac:dyDescent="0.2">
      <c r="C16" s="1">
        <v>-8.2555299999999998E-2</v>
      </c>
      <c r="D16" s="1">
        <f t="shared" si="1"/>
        <v>8.2555299999999998E-2</v>
      </c>
      <c r="E16" s="1">
        <v>1.1000000000000001</v>
      </c>
      <c r="F16">
        <f t="shared" si="0"/>
        <v>110.00000000000001</v>
      </c>
      <c r="I16" s="1">
        <v>-1.77119</v>
      </c>
      <c r="J16" s="1">
        <f t="shared" si="2"/>
        <v>1.77119</v>
      </c>
      <c r="K16" s="1">
        <v>2.6097899999999998</v>
      </c>
      <c r="L16" s="1">
        <f t="shared" si="3"/>
        <v>260.97899999999998</v>
      </c>
      <c r="N16" s="1">
        <v>-1.3582399999999999</v>
      </c>
      <c r="O16" s="1">
        <f t="shared" si="4"/>
        <v>1.3582399999999999</v>
      </c>
      <c r="P16" s="1">
        <v>2.5934400000000002</v>
      </c>
      <c r="Q16" s="1">
        <f t="shared" si="5"/>
        <v>259.34399999999999</v>
      </c>
    </row>
    <row r="17" spans="3:17" x14ac:dyDescent="0.2">
      <c r="C17" s="1">
        <v>-9.0060299999999996E-2</v>
      </c>
      <c r="D17" s="1">
        <f t="shared" si="1"/>
        <v>9.0060299999999996E-2</v>
      </c>
      <c r="E17" s="1">
        <v>1.2</v>
      </c>
      <c r="F17">
        <f t="shared" si="0"/>
        <v>120</v>
      </c>
      <c r="I17" s="1">
        <v>-2.08779</v>
      </c>
      <c r="J17" s="1">
        <f t="shared" si="2"/>
        <v>2.08779</v>
      </c>
      <c r="K17" s="1">
        <v>2.6072899999999999</v>
      </c>
      <c r="L17" s="1">
        <f t="shared" si="3"/>
        <v>260.72899999999998</v>
      </c>
      <c r="N17" s="1">
        <v>-1.6154200000000001</v>
      </c>
      <c r="O17" s="1">
        <f t="shared" si="4"/>
        <v>1.6154200000000001</v>
      </c>
      <c r="P17" s="1">
        <v>2.6022400000000001</v>
      </c>
      <c r="Q17" s="1">
        <f t="shared" si="5"/>
        <v>260.22399999999999</v>
      </c>
    </row>
    <row r="18" spans="3:17" x14ac:dyDescent="0.2">
      <c r="C18" s="1">
        <v>-9.7565299999999994E-2</v>
      </c>
      <c r="D18" s="1">
        <f t="shared" si="1"/>
        <v>9.7565299999999994E-2</v>
      </c>
      <c r="E18" s="1">
        <v>1.3</v>
      </c>
      <c r="F18">
        <f t="shared" si="0"/>
        <v>130</v>
      </c>
      <c r="I18" s="1">
        <v>-2.50596</v>
      </c>
      <c r="J18" s="1">
        <f t="shared" si="2"/>
        <v>2.50596</v>
      </c>
      <c r="K18" s="1">
        <v>2.6106199999999999</v>
      </c>
      <c r="L18" s="1">
        <f t="shared" si="3"/>
        <v>261.06200000000001</v>
      </c>
    </row>
    <row r="19" spans="3:17" x14ac:dyDescent="0.2">
      <c r="C19" s="1">
        <v>-0.10507</v>
      </c>
      <c r="D19" s="1">
        <f t="shared" si="1"/>
        <v>0.10507</v>
      </c>
      <c r="E19" s="1">
        <v>1.4</v>
      </c>
      <c r="F19">
        <f t="shared" si="0"/>
        <v>140</v>
      </c>
      <c r="I19" s="1">
        <v>-2.9798800000000001</v>
      </c>
      <c r="J19" s="1">
        <f t="shared" si="2"/>
        <v>2.9798800000000001</v>
      </c>
      <c r="K19" s="1">
        <v>2.6106199999999999</v>
      </c>
      <c r="L19" s="1">
        <f t="shared" si="3"/>
        <v>261.06200000000001</v>
      </c>
    </row>
    <row r="20" spans="3:17" x14ac:dyDescent="0.2">
      <c r="C20" s="1">
        <v>-0.11258600000000001</v>
      </c>
      <c r="D20" s="1">
        <f t="shared" si="1"/>
        <v>0.11258600000000001</v>
      </c>
      <c r="E20" s="1">
        <v>1.5</v>
      </c>
      <c r="F20">
        <f t="shared" si="0"/>
        <v>150</v>
      </c>
    </row>
    <row r="21" spans="3:17" x14ac:dyDescent="0.2">
      <c r="C21" s="1">
        <v>-0.121132</v>
      </c>
      <c r="D21" s="1">
        <f t="shared" si="1"/>
        <v>0.121132</v>
      </c>
      <c r="E21" s="1">
        <v>1.6</v>
      </c>
      <c r="F21">
        <f t="shared" si="0"/>
        <v>160</v>
      </c>
    </row>
    <row r="22" spans="3:17" x14ac:dyDescent="0.2">
      <c r="C22" s="1">
        <v>-0.130937</v>
      </c>
      <c r="D22" s="1">
        <f t="shared" si="1"/>
        <v>0.130937</v>
      </c>
      <c r="E22" s="1">
        <v>1.7</v>
      </c>
      <c r="F22">
        <f t="shared" si="0"/>
        <v>170</v>
      </c>
    </row>
    <row r="23" spans="3:17" x14ac:dyDescent="0.2">
      <c r="C23" s="1">
        <v>-0.14169799999999999</v>
      </c>
      <c r="D23" s="1">
        <f t="shared" si="1"/>
        <v>0.14169799999999999</v>
      </c>
      <c r="E23" s="1">
        <v>1.8</v>
      </c>
      <c r="F23">
        <f t="shared" si="0"/>
        <v>180</v>
      </c>
    </row>
    <row r="24" spans="3:17" x14ac:dyDescent="0.2">
      <c r="C24" s="1">
        <v>-0.153282</v>
      </c>
      <c r="D24" s="1">
        <f t="shared" si="1"/>
        <v>0.153282</v>
      </c>
      <c r="E24" s="1">
        <v>1.9</v>
      </c>
      <c r="F24">
        <f t="shared" si="0"/>
        <v>190</v>
      </c>
    </row>
    <row r="25" spans="3:17" x14ac:dyDescent="0.2">
      <c r="C25" s="1">
        <v>-0.165604</v>
      </c>
      <c r="D25" s="1">
        <f t="shared" si="1"/>
        <v>0.165604</v>
      </c>
      <c r="E25" s="1">
        <v>2</v>
      </c>
      <c r="F25">
        <f t="shared" si="0"/>
        <v>200</v>
      </c>
    </row>
    <row r="26" spans="3:17" x14ac:dyDescent="0.2">
      <c r="C26" s="1">
        <v>-0.18135100000000001</v>
      </c>
      <c r="D26" s="1">
        <f t="shared" si="1"/>
        <v>0.18135100000000001</v>
      </c>
      <c r="E26" s="1">
        <v>2.1</v>
      </c>
      <c r="F26">
        <f t="shared" si="0"/>
        <v>210</v>
      </c>
    </row>
    <row r="27" spans="3:17" x14ac:dyDescent="0.2">
      <c r="C27" s="1">
        <v>-0.203515</v>
      </c>
      <c r="D27" s="1">
        <f t="shared" si="1"/>
        <v>0.203515</v>
      </c>
      <c r="E27" s="1">
        <v>2.2000000000000002</v>
      </c>
      <c r="F27">
        <f t="shared" si="0"/>
        <v>220.00000000000003</v>
      </c>
    </row>
    <row r="28" spans="3:17" x14ac:dyDescent="0.2">
      <c r="C28" s="1">
        <v>-0.23483299999999999</v>
      </c>
      <c r="D28" s="1">
        <f t="shared" si="1"/>
        <v>0.23483299999999999</v>
      </c>
      <c r="E28" s="1">
        <v>2.2999999999999998</v>
      </c>
      <c r="F28">
        <f t="shared" si="0"/>
        <v>229.99999999999997</v>
      </c>
    </row>
    <row r="29" spans="3:17" x14ac:dyDescent="0.2">
      <c r="C29" s="1">
        <v>-0.291875</v>
      </c>
      <c r="D29" s="1">
        <f t="shared" si="1"/>
        <v>0.291875</v>
      </c>
      <c r="E29" s="1">
        <v>2.4</v>
      </c>
      <c r="F29">
        <f t="shared" si="0"/>
        <v>240</v>
      </c>
    </row>
    <row r="30" spans="3:17" x14ac:dyDescent="0.2">
      <c r="C30" s="1">
        <v>-0.41303800000000002</v>
      </c>
      <c r="D30" s="1">
        <f t="shared" si="1"/>
        <v>0.41303800000000002</v>
      </c>
      <c r="E30" s="1">
        <v>2.5</v>
      </c>
      <c r="F30">
        <f t="shared" si="0"/>
        <v>250</v>
      </c>
    </row>
    <row r="31" spans="3:17" x14ac:dyDescent="0.2">
      <c r="C31" s="1">
        <v>-1.2143600000000001</v>
      </c>
      <c r="D31" s="1">
        <f t="shared" si="1"/>
        <v>1.2143600000000001</v>
      </c>
      <c r="E31" s="1">
        <v>2.6</v>
      </c>
      <c r="F31">
        <f t="shared" si="0"/>
        <v>260</v>
      </c>
    </row>
    <row r="32" spans="3:17" x14ac:dyDescent="0.2">
      <c r="C32" s="1">
        <v>-9281.1</v>
      </c>
      <c r="D32" s="1">
        <f t="shared" si="1"/>
        <v>9281.1</v>
      </c>
      <c r="E32" s="1">
        <v>2.7</v>
      </c>
      <c r="F32">
        <f t="shared" si="0"/>
        <v>270</v>
      </c>
    </row>
  </sheetData>
  <mergeCells count="3">
    <mergeCell ref="C3:F3"/>
    <mergeCell ref="I3:L3"/>
    <mergeCell ref="N3:Q3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2AB6-720F-6846-A6DA-6FB55EA27B62}">
  <dimension ref="A1:D53"/>
  <sheetViews>
    <sheetView zoomScale="140" zoomScaleNormal="140" workbookViewId="0">
      <selection activeCell="B12" sqref="B12"/>
    </sheetView>
  </sheetViews>
  <sheetFormatPr baseColWidth="10" defaultRowHeight="15" x14ac:dyDescent="0.2"/>
  <cols>
    <col min="3" max="3" width="8" bestFit="1" customWidth="1"/>
    <col min="4" max="4" width="8.33203125" bestFit="1" customWidth="1"/>
    <col min="7" max="7" width="8" bestFit="1" customWidth="1"/>
    <col min="8" max="8" width="8.33203125" bestFit="1" customWidth="1"/>
  </cols>
  <sheetData>
    <row r="1" spans="1:4" x14ac:dyDescent="0.2">
      <c r="A1" s="15" t="s">
        <v>24</v>
      </c>
      <c r="B1" s="15"/>
      <c r="C1" s="15" t="s">
        <v>47</v>
      </c>
      <c r="D1" s="15"/>
    </row>
    <row r="2" spans="1:4" x14ac:dyDescent="0.2">
      <c r="A2" s="6" t="s">
        <v>45</v>
      </c>
      <c r="B2" s="9" t="s">
        <v>46</v>
      </c>
      <c r="C2" s="6" t="s">
        <v>45</v>
      </c>
      <c r="D2" s="6" t="s">
        <v>46</v>
      </c>
    </row>
    <row r="3" spans="1:4" x14ac:dyDescent="0.2">
      <c r="C3" s="8">
        <v>0</v>
      </c>
      <c r="D3" s="10">
        <v>0</v>
      </c>
    </row>
    <row r="4" spans="1:4" x14ac:dyDescent="0.2">
      <c r="C4" s="8">
        <v>1.9696000962999998E-3</v>
      </c>
      <c r="D4" s="10">
        <v>5.2051701546000002</v>
      </c>
    </row>
    <row r="5" spans="1:4" x14ac:dyDescent="0.2">
      <c r="C5" s="8">
        <v>3.9392001927000004E-3</v>
      </c>
      <c r="D5" s="10">
        <v>10.410300254999999</v>
      </c>
    </row>
    <row r="6" spans="1:4" x14ac:dyDescent="0.2">
      <c r="C6" s="8">
        <v>5.9088100679000003E-3</v>
      </c>
      <c r="D6" s="10">
        <v>15.615500450000001</v>
      </c>
    </row>
    <row r="7" spans="1:4" x14ac:dyDescent="0.2">
      <c r="C7" s="8">
        <v>7.8784096986000002E-3</v>
      </c>
      <c r="D7" s="10">
        <v>20.820699692000002</v>
      </c>
    </row>
    <row r="8" spans="1:4" x14ac:dyDescent="0.2">
      <c r="C8" s="8">
        <v>9.8484400660000006E-3</v>
      </c>
      <c r="D8" s="10">
        <v>25.809099196999998</v>
      </c>
    </row>
    <row r="9" spans="1:4" x14ac:dyDescent="0.2">
      <c r="C9" s="8">
        <v>1.1824600399000001E-2</v>
      </c>
      <c r="D9" s="10">
        <v>27.569799422999999</v>
      </c>
    </row>
    <row r="10" spans="1:4" x14ac:dyDescent="0.2">
      <c r="C10" s="8">
        <v>1.3801599853E-2</v>
      </c>
      <c r="D10" s="10">
        <v>28.681900024000001</v>
      </c>
    </row>
    <row r="11" spans="1:4" x14ac:dyDescent="0.2">
      <c r="C11" s="8">
        <v>1.5778599306999999E-2</v>
      </c>
      <c r="D11" s="10">
        <v>29.590999603</v>
      </c>
    </row>
    <row r="12" spans="1:4" x14ac:dyDescent="0.2">
      <c r="C12" s="8">
        <v>1.7756100744000001E-2</v>
      </c>
      <c r="D12" s="10">
        <v>30.271799088000002</v>
      </c>
    </row>
    <row r="13" spans="1:4" x14ac:dyDescent="0.2">
      <c r="C13" s="8">
        <v>1.9735800102E-2</v>
      </c>
      <c r="D13" s="10">
        <v>30.323099136</v>
      </c>
    </row>
    <row r="14" spans="1:4" x14ac:dyDescent="0.2">
      <c r="C14" s="8">
        <v>2.1715600044E-2</v>
      </c>
      <c r="D14" s="10">
        <v>30.329200745000001</v>
      </c>
    </row>
    <row r="15" spans="1:4" x14ac:dyDescent="0.2">
      <c r="C15" s="8">
        <v>2.3695399985000001E-2</v>
      </c>
      <c r="D15" s="10">
        <v>30.333599091</v>
      </c>
    </row>
    <row r="16" spans="1:4" x14ac:dyDescent="0.2">
      <c r="C16" s="8">
        <v>2.5675199926000002E-2</v>
      </c>
      <c r="D16" s="10">
        <v>30.337099075000001</v>
      </c>
    </row>
    <row r="17" spans="3:4" x14ac:dyDescent="0.2">
      <c r="C17" s="8">
        <v>2.7655100450000001E-2</v>
      </c>
      <c r="D17" s="10">
        <v>30.340000152999998</v>
      </c>
    </row>
    <row r="18" spans="3:4" x14ac:dyDescent="0.2">
      <c r="C18" s="8">
        <v>2.9634900390999998E-2</v>
      </c>
      <c r="D18" s="10">
        <v>30.342599869000001</v>
      </c>
    </row>
    <row r="19" spans="3:4" x14ac:dyDescent="0.2">
      <c r="C19" s="8">
        <v>3.1614698470000001E-2</v>
      </c>
      <c r="D19" s="10">
        <v>30.344900130999999</v>
      </c>
    </row>
    <row r="20" spans="3:4" x14ac:dyDescent="0.2">
      <c r="C20" s="8">
        <v>3.3594500272999997E-2</v>
      </c>
      <c r="D20" s="10">
        <v>30.347099304</v>
      </c>
    </row>
    <row r="21" spans="3:4" x14ac:dyDescent="0.2">
      <c r="C21" s="8">
        <v>3.5574298352000003E-2</v>
      </c>
      <c r="D21" s="10">
        <v>30.349000930999999</v>
      </c>
    </row>
    <row r="22" spans="3:4" x14ac:dyDescent="0.2">
      <c r="C22" s="8">
        <v>3.7554200739000003E-2</v>
      </c>
      <c r="D22" s="10">
        <v>30.35090065</v>
      </c>
    </row>
    <row r="23" spans="3:4" x14ac:dyDescent="0.2">
      <c r="C23" s="8">
        <v>3.9533998817000003E-2</v>
      </c>
      <c r="D23" s="10">
        <v>30.351499557</v>
      </c>
    </row>
    <row r="24" spans="3:4" x14ac:dyDescent="0.2">
      <c r="C24" s="8">
        <v>4.1513800620999998E-2</v>
      </c>
      <c r="D24" s="10">
        <v>30.351900100999998</v>
      </c>
    </row>
    <row r="25" spans="3:4" x14ac:dyDescent="0.2">
      <c r="C25" s="8">
        <v>4.3493598699999997E-2</v>
      </c>
      <c r="D25" s="10">
        <v>30.352300644</v>
      </c>
    </row>
    <row r="26" spans="3:4" x14ac:dyDescent="0.2">
      <c r="C26" s="8">
        <v>4.5473501085999998E-2</v>
      </c>
      <c r="D26" s="10">
        <v>30.352600098</v>
      </c>
    </row>
    <row r="27" spans="3:4" x14ac:dyDescent="0.2">
      <c r="C27" s="8">
        <v>4.7453299164999997E-2</v>
      </c>
      <c r="D27" s="10">
        <v>30.353000641000001</v>
      </c>
    </row>
    <row r="28" spans="3:4" x14ac:dyDescent="0.2">
      <c r="C28" s="8">
        <v>4.9433100968999999E-2</v>
      </c>
      <c r="D28" s="10">
        <v>30.353300095000002</v>
      </c>
    </row>
    <row r="29" spans="3:4" x14ac:dyDescent="0.2">
      <c r="C29" s="8">
        <v>5.1412899046999999E-2</v>
      </c>
      <c r="D29" s="10">
        <v>30.353599547999998</v>
      </c>
    </row>
    <row r="30" spans="3:4" x14ac:dyDescent="0.2">
      <c r="C30" s="8">
        <v>5.3392801433999999E-2</v>
      </c>
      <c r="D30" s="10">
        <v>30.353900909</v>
      </c>
    </row>
    <row r="31" spans="3:4" x14ac:dyDescent="0.2">
      <c r="C31" s="8">
        <v>5.5372599511999999E-2</v>
      </c>
      <c r="D31" s="10">
        <v>30.354099273999999</v>
      </c>
    </row>
    <row r="32" spans="3:4" x14ac:dyDescent="0.2">
      <c r="C32" s="8">
        <v>5.7352401316000001E-2</v>
      </c>
      <c r="D32" s="10">
        <v>30.354400635000001</v>
      </c>
    </row>
    <row r="33" spans="3:4" x14ac:dyDescent="0.2">
      <c r="C33" s="8">
        <v>5.9332199395E-2</v>
      </c>
      <c r="D33" s="10">
        <v>30.354600906000002</v>
      </c>
    </row>
    <row r="34" spans="3:4" x14ac:dyDescent="0.2">
      <c r="C34" s="8">
        <v>6.1312001199000002E-2</v>
      </c>
      <c r="D34" s="10">
        <v>30.354799271000001</v>
      </c>
    </row>
    <row r="35" spans="3:4" x14ac:dyDescent="0.2">
      <c r="C35" s="8">
        <v>6.329189986E-2</v>
      </c>
      <c r="D35" s="10">
        <v>30.355100631999999</v>
      </c>
    </row>
    <row r="36" spans="3:4" x14ac:dyDescent="0.2">
      <c r="C36" s="8">
        <v>6.5271697938000001E-2</v>
      </c>
      <c r="D36" s="10">
        <v>30.355300903</v>
      </c>
    </row>
    <row r="37" spans="3:4" x14ac:dyDescent="0.2">
      <c r="C37" s="8">
        <v>6.7251503468000004E-2</v>
      </c>
      <c r="D37" s="10">
        <v>30.355499267999999</v>
      </c>
    </row>
    <row r="38" spans="3:4" x14ac:dyDescent="0.2">
      <c r="C38" s="8">
        <v>6.9231301546000004E-2</v>
      </c>
      <c r="D38" s="10">
        <v>30.355699539</v>
      </c>
    </row>
    <row r="39" spans="3:4" x14ac:dyDescent="0.2">
      <c r="C39" s="8">
        <v>7.1211196482E-2</v>
      </c>
      <c r="D39" s="10">
        <v>30.355899811</v>
      </c>
    </row>
    <row r="40" spans="3:4" x14ac:dyDescent="0.2">
      <c r="C40" s="8">
        <v>7.3191002010999998E-2</v>
      </c>
      <c r="D40" s="10">
        <v>30.356000900000002</v>
      </c>
    </row>
    <row r="41" spans="3:4" x14ac:dyDescent="0.2">
      <c r="C41" s="8">
        <v>7.5170800090000003E-2</v>
      </c>
      <c r="D41" s="10">
        <v>30.356199265000001</v>
      </c>
    </row>
    <row r="42" spans="3:4" x14ac:dyDescent="0.2">
      <c r="C42" s="8">
        <v>7.7150598168000004E-2</v>
      </c>
      <c r="D42" s="10">
        <v>30.356399536000001</v>
      </c>
    </row>
    <row r="43" spans="3:4" x14ac:dyDescent="0.2">
      <c r="C43" s="8">
        <v>7.9130500554999997E-2</v>
      </c>
      <c r="D43" s="10">
        <v>30.356500625999999</v>
      </c>
    </row>
    <row r="44" spans="3:4" x14ac:dyDescent="0.2">
      <c r="C44" s="8">
        <v>8.1110298634000003E-2</v>
      </c>
      <c r="D44" s="10">
        <v>30.356700897</v>
      </c>
    </row>
    <row r="45" spans="3:4" x14ac:dyDescent="0.2">
      <c r="C45" s="8">
        <v>8.3090096712000003E-2</v>
      </c>
      <c r="D45" s="10">
        <v>30.356800078999999</v>
      </c>
    </row>
    <row r="46" spans="3:4" x14ac:dyDescent="0.2">
      <c r="C46" s="8">
        <v>8.5069902241000001E-2</v>
      </c>
      <c r="D46" s="10">
        <v>30.357000351</v>
      </c>
    </row>
    <row r="47" spans="3:4" x14ac:dyDescent="0.2">
      <c r="C47" s="8">
        <v>8.7049797176999996E-2</v>
      </c>
      <c r="D47" s="10">
        <v>30.357099533</v>
      </c>
    </row>
    <row r="48" spans="3:4" x14ac:dyDescent="0.2">
      <c r="C48" s="8">
        <v>8.9029602705999994E-2</v>
      </c>
      <c r="D48" s="10">
        <v>30.357200623000001</v>
      </c>
    </row>
    <row r="49" spans="3:4" x14ac:dyDescent="0.2">
      <c r="C49" s="8">
        <v>9.1009400785E-2</v>
      </c>
      <c r="D49" s="10">
        <v>30.357299805</v>
      </c>
    </row>
    <row r="50" spans="3:4" x14ac:dyDescent="0.2">
      <c r="C50" s="8">
        <v>9.2989198864000006E-2</v>
      </c>
      <c r="D50" s="10">
        <v>30.357500076000001</v>
      </c>
    </row>
    <row r="51" spans="3:4" x14ac:dyDescent="0.2">
      <c r="C51" s="8">
        <v>9.4969101249999993E-2</v>
      </c>
      <c r="D51" s="10">
        <v>30.357599258</v>
      </c>
    </row>
    <row r="52" spans="3:4" x14ac:dyDescent="0.2">
      <c r="C52" s="8">
        <v>9.6948899328999999E-2</v>
      </c>
      <c r="D52" s="10">
        <v>30.357700348000002</v>
      </c>
    </row>
    <row r="53" spans="3:4" x14ac:dyDescent="0.2">
      <c r="C53" s="8">
        <v>9.8928697406999999E-2</v>
      </c>
      <c r="D53" s="10">
        <v>30.357799530000001</v>
      </c>
    </row>
  </sheetData>
  <mergeCells count="2">
    <mergeCell ref="A1:B1"/>
    <mergeCell ref="C1:D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EC70-35DE-3748-83E2-13B2F47DA095}">
  <dimension ref="A1:H31"/>
  <sheetViews>
    <sheetView tabSelected="1" zoomScale="140" zoomScaleNormal="140" workbookViewId="0">
      <selection activeCell="B14" sqref="B14"/>
    </sheetView>
  </sheetViews>
  <sheetFormatPr baseColWidth="10" defaultRowHeight="15" x14ac:dyDescent="0.2"/>
  <cols>
    <col min="3" max="3" width="8" bestFit="1" customWidth="1"/>
    <col min="4" max="4" width="8.33203125" bestFit="1" customWidth="1"/>
    <col min="7" max="8" width="8.6640625" bestFit="1" customWidth="1"/>
    <col min="9" max="9" width="8" bestFit="1" customWidth="1"/>
    <col min="10" max="10" width="8.33203125" bestFit="1" customWidth="1"/>
  </cols>
  <sheetData>
    <row r="1" spans="1:4" x14ac:dyDescent="0.2">
      <c r="A1" s="15" t="s">
        <v>24</v>
      </c>
      <c r="B1" s="15"/>
      <c r="C1" s="15" t="s">
        <v>44</v>
      </c>
      <c r="D1" s="15"/>
    </row>
    <row r="2" spans="1:4" x14ac:dyDescent="0.2">
      <c r="A2" s="6" t="s">
        <v>45</v>
      </c>
      <c r="B2" s="9" t="s">
        <v>46</v>
      </c>
      <c r="C2" s="6" t="s">
        <v>45</v>
      </c>
      <c r="D2" s="6" t="s">
        <v>46</v>
      </c>
    </row>
    <row r="3" spans="1:4" x14ac:dyDescent="0.2">
      <c r="C3" s="17">
        <v>0</v>
      </c>
      <c r="D3" s="17">
        <v>0</v>
      </c>
    </row>
    <row r="4" spans="1:4" x14ac:dyDescent="0.2">
      <c r="C4" s="17">
        <v>0.02</v>
      </c>
      <c r="D4" s="17">
        <v>1.0905800000000001</v>
      </c>
    </row>
    <row r="5" spans="1:4" x14ac:dyDescent="0.2">
      <c r="C5" s="17">
        <v>0.04</v>
      </c>
      <c r="D5" s="17">
        <v>2.0500600000000002</v>
      </c>
    </row>
    <row r="6" spans="1:4" x14ac:dyDescent="0.2">
      <c r="C6" s="17">
        <v>0.06</v>
      </c>
      <c r="D6" s="17">
        <v>2.43066</v>
      </c>
    </row>
    <row r="7" spans="1:4" x14ac:dyDescent="0.2">
      <c r="C7" s="17">
        <v>0.08</v>
      </c>
      <c r="D7" s="17">
        <v>2.4631699999999999</v>
      </c>
    </row>
    <row r="8" spans="1:4" x14ac:dyDescent="0.2">
      <c r="C8" s="17">
        <v>0.1</v>
      </c>
      <c r="D8" s="17">
        <v>2.48584</v>
      </c>
    </row>
    <row r="9" spans="1:4" x14ac:dyDescent="0.2">
      <c r="C9" s="17">
        <v>0.12</v>
      </c>
      <c r="D9" s="17">
        <v>2.5047799999999998</v>
      </c>
    </row>
    <row r="10" spans="1:4" x14ac:dyDescent="0.2">
      <c r="C10" s="17">
        <v>0.14000000000000001</v>
      </c>
      <c r="D10" s="17">
        <v>2.5208699999999999</v>
      </c>
    </row>
    <row r="11" spans="1:4" x14ac:dyDescent="0.2">
      <c r="C11" s="18"/>
      <c r="D11" s="18"/>
    </row>
    <row r="12" spans="1:4" x14ac:dyDescent="0.2">
      <c r="C12" s="18"/>
      <c r="D12" s="18"/>
    </row>
    <row r="13" spans="1:4" x14ac:dyDescent="0.2">
      <c r="C13" s="18"/>
      <c r="D13" s="18"/>
    </row>
    <row r="14" spans="1:4" x14ac:dyDescent="0.2">
      <c r="C14" s="18"/>
      <c r="D14" s="18"/>
    </row>
    <row r="15" spans="1:4" x14ac:dyDescent="0.2">
      <c r="C15" s="18"/>
      <c r="D15" s="18"/>
    </row>
    <row r="16" spans="1:4" x14ac:dyDescent="0.2">
      <c r="C16" s="18"/>
      <c r="D16" s="18"/>
    </row>
    <row r="17" spans="3:8" x14ac:dyDescent="0.2">
      <c r="C17" s="18"/>
      <c r="D17" s="18"/>
    </row>
    <row r="18" spans="3:8" x14ac:dyDescent="0.2">
      <c r="C18" s="18"/>
      <c r="D18" s="18"/>
    </row>
    <row r="19" spans="3:8" x14ac:dyDescent="0.2">
      <c r="C19" s="18"/>
      <c r="D19" s="18"/>
    </row>
    <row r="20" spans="3:8" x14ac:dyDescent="0.2">
      <c r="C20" s="18"/>
      <c r="D20" s="18"/>
    </row>
    <row r="21" spans="3:8" x14ac:dyDescent="0.2">
      <c r="C21" s="18"/>
      <c r="D21" s="18"/>
    </row>
    <row r="22" spans="3:8" x14ac:dyDescent="0.2">
      <c r="C22" s="18"/>
      <c r="D22" s="18"/>
    </row>
    <row r="23" spans="3:8" x14ac:dyDescent="0.2">
      <c r="C23" s="18"/>
      <c r="D23" s="18"/>
      <c r="G23" s="16"/>
      <c r="H23" s="16"/>
    </row>
    <row r="24" spans="3:8" x14ac:dyDescent="0.2">
      <c r="C24" s="18"/>
      <c r="D24" s="18"/>
      <c r="G24" s="16"/>
      <c r="H24" s="16"/>
    </row>
    <row r="25" spans="3:8" x14ac:dyDescent="0.2">
      <c r="C25" s="18"/>
      <c r="D25" s="18"/>
      <c r="G25" s="16"/>
      <c r="H25" s="16"/>
    </row>
    <row r="26" spans="3:8" x14ac:dyDescent="0.2">
      <c r="C26" s="18"/>
      <c r="D26" s="18"/>
      <c r="G26" s="16"/>
      <c r="H26" s="16"/>
    </row>
    <row r="27" spans="3:8" x14ac:dyDescent="0.2">
      <c r="C27" s="18"/>
      <c r="D27" s="18"/>
      <c r="G27" s="16"/>
      <c r="H27" s="16"/>
    </row>
    <row r="28" spans="3:8" x14ac:dyDescent="0.2">
      <c r="C28" s="18"/>
      <c r="D28" s="18"/>
      <c r="G28" s="16"/>
      <c r="H28" s="16"/>
    </row>
    <row r="29" spans="3:8" x14ac:dyDescent="0.2">
      <c r="C29" s="18"/>
      <c r="D29" s="18"/>
      <c r="G29" s="16"/>
      <c r="H29" s="16"/>
    </row>
    <row r="30" spans="3:8" x14ac:dyDescent="0.2">
      <c r="C30" s="18"/>
      <c r="D30" s="18"/>
      <c r="G30" s="16"/>
      <c r="H30" s="16"/>
    </row>
    <row r="31" spans="3:8" x14ac:dyDescent="0.2">
      <c r="C31" s="18"/>
      <c r="D31" s="18"/>
    </row>
  </sheetData>
  <mergeCells count="2">
    <mergeCell ref="A1:B1"/>
    <mergeCell ref="C1: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4</vt:i4>
      </vt:variant>
    </vt:vector>
  </HeadingPairs>
  <TitlesOfParts>
    <vt:vector size="13" baseType="lpstr">
      <vt:lpstr>Resumo</vt:lpstr>
      <vt:lpstr>Planilha1</vt:lpstr>
      <vt:lpstr>CylPlast2D</vt:lpstr>
      <vt:lpstr>SphAxys</vt:lpstr>
      <vt:lpstr>PlateCircAxys</vt:lpstr>
      <vt:lpstr>CylPlast3D</vt:lpstr>
      <vt:lpstr>PlateCirc3D</vt:lpstr>
      <vt:lpstr>CantileverPlastPlaneStress</vt:lpstr>
      <vt:lpstr>PlastPerfPlaneStress</vt:lpstr>
      <vt:lpstr>CantileverPlastPlaneStress!CantileverPlast</vt:lpstr>
      <vt:lpstr>PlastPerfPlaneStress!graf_1</vt:lpstr>
      <vt:lpstr>PlastPerfPlaneStress!PerfPlate_1</vt:lpstr>
      <vt:lpstr>PlastPerfPlaneStress!PerPlate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Melo</dc:creator>
  <cp:lastModifiedBy>Evandro Parente</cp:lastModifiedBy>
  <dcterms:created xsi:type="dcterms:W3CDTF">2023-02-05T12:05:43Z</dcterms:created>
  <dcterms:modified xsi:type="dcterms:W3CDTF">2025-10-22T21:51:40Z</dcterms:modified>
</cp:coreProperties>
</file>