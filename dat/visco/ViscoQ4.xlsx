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4520" tabRatio="500"/>
  </bookViews>
  <sheets>
    <sheet name="Sheet1" sheetId="1" r:id="rId1"/>
  </sheets>
  <definedNames>
    <definedName name="ViscoBeamDyn_1" localSheetId="0">Sheet1!$F$21:$G$520</definedName>
    <definedName name="ViscoBeamStc" localSheetId="0">Sheet1!$A$21:$A$520</definedName>
    <definedName name="ViscoBeamStc_1" localSheetId="0">Sheet1!$F$18:$K$517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" i="1" l="1"/>
  <c r="B8" i="1"/>
  <c r="B9" i="1"/>
  <c r="B10" i="1"/>
  <c r="B11" i="1"/>
  <c r="B421" i="1"/>
  <c r="B321" i="1"/>
  <c r="C421" i="1"/>
  <c r="B420" i="1"/>
  <c r="B320" i="1"/>
  <c r="C420" i="1"/>
  <c r="B419" i="1"/>
  <c r="B319" i="1"/>
  <c r="C419" i="1"/>
  <c r="B418" i="1"/>
  <c r="B318" i="1"/>
  <c r="C418" i="1"/>
  <c r="B417" i="1"/>
  <c r="B317" i="1"/>
  <c r="C417" i="1"/>
  <c r="B416" i="1"/>
  <c r="B316" i="1"/>
  <c r="C416" i="1"/>
  <c r="B415" i="1"/>
  <c r="B315" i="1"/>
  <c r="C415" i="1"/>
  <c r="B414" i="1"/>
  <c r="B314" i="1"/>
  <c r="C414" i="1"/>
  <c r="B413" i="1"/>
  <c r="B313" i="1"/>
  <c r="C413" i="1"/>
  <c r="B412" i="1"/>
  <c r="B312" i="1"/>
  <c r="C412" i="1"/>
  <c r="B411" i="1"/>
  <c r="B311" i="1"/>
  <c r="C411" i="1"/>
  <c r="B410" i="1"/>
  <c r="B310" i="1"/>
  <c r="C410" i="1"/>
  <c r="B409" i="1"/>
  <c r="B309" i="1"/>
  <c r="C409" i="1"/>
  <c r="B408" i="1"/>
  <c r="B308" i="1"/>
  <c r="C408" i="1"/>
  <c r="B407" i="1"/>
  <c r="B307" i="1"/>
  <c r="C407" i="1"/>
  <c r="B406" i="1"/>
  <c r="B306" i="1"/>
  <c r="C406" i="1"/>
  <c r="B405" i="1"/>
  <c r="B305" i="1"/>
  <c r="C405" i="1"/>
  <c r="B404" i="1"/>
  <c r="B304" i="1"/>
  <c r="C404" i="1"/>
  <c r="B403" i="1"/>
  <c r="B303" i="1"/>
  <c r="C403" i="1"/>
  <c r="B402" i="1"/>
  <c r="B302" i="1"/>
  <c r="C402" i="1"/>
  <c r="B401" i="1"/>
  <c r="B301" i="1"/>
  <c r="C401" i="1"/>
  <c r="B400" i="1"/>
  <c r="B300" i="1"/>
  <c r="C400" i="1"/>
  <c r="B399" i="1"/>
  <c r="B299" i="1"/>
  <c r="C399" i="1"/>
  <c r="B398" i="1"/>
  <c r="B298" i="1"/>
  <c r="C398" i="1"/>
  <c r="B397" i="1"/>
  <c r="B297" i="1"/>
  <c r="C397" i="1"/>
  <c r="B396" i="1"/>
  <c r="B296" i="1"/>
  <c r="C396" i="1"/>
  <c r="B395" i="1"/>
  <c r="B295" i="1"/>
  <c r="C395" i="1"/>
  <c r="B394" i="1"/>
  <c r="B294" i="1"/>
  <c r="C394" i="1"/>
  <c r="B393" i="1"/>
  <c r="B293" i="1"/>
  <c r="C393" i="1"/>
  <c r="B392" i="1"/>
  <c r="B292" i="1"/>
  <c r="C392" i="1"/>
  <c r="B391" i="1"/>
  <c r="B291" i="1"/>
  <c r="C391" i="1"/>
  <c r="B390" i="1"/>
  <c r="B290" i="1"/>
  <c r="C390" i="1"/>
  <c r="B389" i="1"/>
  <c r="B289" i="1"/>
  <c r="C389" i="1"/>
  <c r="B388" i="1"/>
  <c r="B288" i="1"/>
  <c r="C388" i="1"/>
  <c r="B387" i="1"/>
  <c r="B287" i="1"/>
  <c r="C387" i="1"/>
  <c r="B386" i="1"/>
  <c r="B286" i="1"/>
  <c r="C386" i="1"/>
  <c r="B385" i="1"/>
  <c r="B285" i="1"/>
  <c r="C385" i="1"/>
  <c r="B384" i="1"/>
  <c r="B284" i="1"/>
  <c r="C384" i="1"/>
  <c r="B383" i="1"/>
  <c r="B283" i="1"/>
  <c r="C383" i="1"/>
  <c r="B382" i="1"/>
  <c r="B282" i="1"/>
  <c r="C382" i="1"/>
  <c r="B381" i="1"/>
  <c r="B281" i="1"/>
  <c r="C381" i="1"/>
  <c r="B380" i="1"/>
  <c r="B280" i="1"/>
  <c r="C380" i="1"/>
  <c r="B379" i="1"/>
  <c r="B279" i="1"/>
  <c r="C379" i="1"/>
  <c r="B378" i="1"/>
  <c r="B278" i="1"/>
  <c r="C378" i="1"/>
  <c r="B377" i="1"/>
  <c r="B277" i="1"/>
  <c r="C377" i="1"/>
  <c r="B376" i="1"/>
  <c r="B276" i="1"/>
  <c r="C376" i="1"/>
  <c r="B375" i="1"/>
  <c r="B275" i="1"/>
  <c r="C375" i="1"/>
  <c r="B374" i="1"/>
  <c r="B274" i="1"/>
  <c r="C374" i="1"/>
  <c r="B373" i="1"/>
  <c r="B273" i="1"/>
  <c r="C373" i="1"/>
  <c r="B372" i="1"/>
  <c r="B272" i="1"/>
  <c r="C372" i="1"/>
  <c r="B371" i="1"/>
  <c r="B271" i="1"/>
  <c r="C371" i="1"/>
  <c r="B370" i="1"/>
  <c r="B270" i="1"/>
  <c r="C370" i="1"/>
  <c r="B369" i="1"/>
  <c r="B269" i="1"/>
  <c r="C369" i="1"/>
  <c r="B368" i="1"/>
  <c r="B268" i="1"/>
  <c r="C368" i="1"/>
  <c r="B367" i="1"/>
  <c r="B267" i="1"/>
  <c r="C367" i="1"/>
  <c r="B366" i="1"/>
  <c r="B266" i="1"/>
  <c r="C366" i="1"/>
  <c r="B365" i="1"/>
  <c r="B265" i="1"/>
  <c r="C365" i="1"/>
  <c r="B364" i="1"/>
  <c r="B264" i="1"/>
  <c r="C364" i="1"/>
  <c r="B363" i="1"/>
  <c r="B263" i="1"/>
  <c r="C363" i="1"/>
  <c r="B362" i="1"/>
  <c r="B262" i="1"/>
  <c r="C362" i="1"/>
  <c r="B361" i="1"/>
  <c r="B261" i="1"/>
  <c r="C361" i="1"/>
  <c r="B360" i="1"/>
  <c r="B260" i="1"/>
  <c r="C360" i="1"/>
  <c r="B359" i="1"/>
  <c r="B259" i="1"/>
  <c r="C359" i="1"/>
  <c r="B358" i="1"/>
  <c r="B258" i="1"/>
  <c r="C358" i="1"/>
  <c r="B357" i="1"/>
  <c r="B257" i="1"/>
  <c r="C357" i="1"/>
  <c r="B356" i="1"/>
  <c r="B256" i="1"/>
  <c r="C356" i="1"/>
  <c r="B355" i="1"/>
  <c r="B255" i="1"/>
  <c r="C355" i="1"/>
  <c r="B354" i="1"/>
  <c r="B254" i="1"/>
  <c r="C354" i="1"/>
  <c r="B353" i="1"/>
  <c r="B253" i="1"/>
  <c r="C353" i="1"/>
  <c r="B352" i="1"/>
  <c r="B252" i="1"/>
  <c r="C352" i="1"/>
  <c r="B351" i="1"/>
  <c r="B251" i="1"/>
  <c r="C351" i="1"/>
  <c r="B350" i="1"/>
  <c r="B250" i="1"/>
  <c r="C350" i="1"/>
  <c r="B349" i="1"/>
  <c r="B249" i="1"/>
  <c r="C349" i="1"/>
  <c r="B348" i="1"/>
  <c r="B248" i="1"/>
  <c r="C348" i="1"/>
  <c r="B347" i="1"/>
  <c r="B247" i="1"/>
  <c r="C347" i="1"/>
  <c r="B346" i="1"/>
  <c r="B246" i="1"/>
  <c r="C346" i="1"/>
  <c r="B345" i="1"/>
  <c r="B245" i="1"/>
  <c r="C345" i="1"/>
  <c r="B344" i="1"/>
  <c r="B244" i="1"/>
  <c r="C344" i="1"/>
  <c r="B343" i="1"/>
  <c r="B243" i="1"/>
  <c r="C343" i="1"/>
  <c r="B342" i="1"/>
  <c r="B242" i="1"/>
  <c r="C342" i="1"/>
  <c r="B341" i="1"/>
  <c r="B241" i="1"/>
  <c r="C341" i="1"/>
  <c r="B340" i="1"/>
  <c r="B240" i="1"/>
  <c r="C340" i="1"/>
  <c r="B339" i="1"/>
  <c r="B239" i="1"/>
  <c r="C339" i="1"/>
  <c r="B338" i="1"/>
  <c r="B238" i="1"/>
  <c r="C338" i="1"/>
  <c r="B337" i="1"/>
  <c r="B237" i="1"/>
  <c r="C337" i="1"/>
  <c r="B336" i="1"/>
  <c r="B236" i="1"/>
  <c r="C336" i="1"/>
  <c r="B335" i="1"/>
  <c r="B235" i="1"/>
  <c r="C335" i="1"/>
  <c r="B334" i="1"/>
  <c r="B234" i="1"/>
  <c r="C334" i="1"/>
  <c r="B333" i="1"/>
  <c r="B233" i="1"/>
  <c r="C333" i="1"/>
  <c r="B332" i="1"/>
  <c r="B232" i="1"/>
  <c r="C332" i="1"/>
  <c r="B331" i="1"/>
  <c r="B231" i="1"/>
  <c r="C331" i="1"/>
  <c r="B330" i="1"/>
  <c r="B230" i="1"/>
  <c r="C330" i="1"/>
  <c r="B329" i="1"/>
  <c r="B229" i="1"/>
  <c r="C329" i="1"/>
  <c r="B328" i="1"/>
  <c r="B228" i="1"/>
  <c r="C328" i="1"/>
  <c r="B327" i="1"/>
  <c r="B227" i="1"/>
  <c r="C327" i="1"/>
  <c r="B326" i="1"/>
  <c r="B226" i="1"/>
  <c r="C326" i="1"/>
  <c r="B325" i="1"/>
  <c r="B225" i="1"/>
  <c r="C325" i="1"/>
  <c r="B324" i="1"/>
  <c r="B224" i="1"/>
  <c r="C324" i="1"/>
  <c r="B323" i="1"/>
  <c r="B223" i="1"/>
  <c r="C323" i="1"/>
  <c r="B322" i="1"/>
  <c r="B222" i="1"/>
  <c r="C322" i="1"/>
  <c r="B221" i="1"/>
  <c r="C321" i="1"/>
  <c r="B220" i="1"/>
  <c r="C320" i="1"/>
  <c r="B219" i="1"/>
  <c r="C319" i="1"/>
  <c r="B218" i="1"/>
  <c r="C318" i="1"/>
  <c r="B217" i="1"/>
  <c r="C317" i="1"/>
  <c r="B216" i="1"/>
  <c r="C316" i="1"/>
  <c r="B215" i="1"/>
  <c r="C315" i="1"/>
  <c r="B214" i="1"/>
  <c r="C314" i="1"/>
  <c r="B213" i="1"/>
  <c r="C313" i="1"/>
  <c r="B212" i="1"/>
  <c r="C312" i="1"/>
  <c r="B211" i="1"/>
  <c r="C311" i="1"/>
  <c r="B210" i="1"/>
  <c r="C310" i="1"/>
  <c r="B209" i="1"/>
  <c r="C309" i="1"/>
  <c r="B208" i="1"/>
  <c r="C308" i="1"/>
  <c r="B207" i="1"/>
  <c r="C307" i="1"/>
  <c r="B206" i="1"/>
  <c r="C306" i="1"/>
  <c r="B205" i="1"/>
  <c r="C305" i="1"/>
  <c r="B204" i="1"/>
  <c r="C304" i="1"/>
  <c r="B203" i="1"/>
  <c r="C303" i="1"/>
  <c r="B202" i="1"/>
  <c r="C302" i="1"/>
  <c r="B201" i="1"/>
  <c r="C301" i="1"/>
  <c r="B200" i="1"/>
  <c r="C300" i="1"/>
  <c r="B199" i="1"/>
  <c r="C299" i="1"/>
  <c r="B198" i="1"/>
  <c r="C298" i="1"/>
  <c r="B197" i="1"/>
  <c r="C297" i="1"/>
  <c r="B196" i="1"/>
  <c r="C296" i="1"/>
  <c r="B195" i="1"/>
  <c r="C295" i="1"/>
  <c r="B194" i="1"/>
  <c r="C294" i="1"/>
  <c r="B193" i="1"/>
  <c r="C293" i="1"/>
  <c r="B192" i="1"/>
  <c r="C292" i="1"/>
  <c r="B191" i="1"/>
  <c r="C291" i="1"/>
  <c r="B190" i="1"/>
  <c r="C290" i="1"/>
  <c r="B189" i="1"/>
  <c r="C289" i="1"/>
  <c r="B188" i="1"/>
  <c r="C288" i="1"/>
  <c r="B187" i="1"/>
  <c r="C287" i="1"/>
  <c r="B186" i="1"/>
  <c r="C286" i="1"/>
  <c r="B185" i="1"/>
  <c r="C285" i="1"/>
  <c r="B184" i="1"/>
  <c r="C284" i="1"/>
  <c r="B183" i="1"/>
  <c r="C283" i="1"/>
  <c r="B182" i="1"/>
  <c r="C282" i="1"/>
  <c r="B181" i="1"/>
  <c r="C281" i="1"/>
  <c r="B180" i="1"/>
  <c r="C280" i="1"/>
  <c r="B179" i="1"/>
  <c r="C279" i="1"/>
  <c r="B178" i="1"/>
  <c r="C278" i="1"/>
  <c r="B177" i="1"/>
  <c r="C277" i="1"/>
  <c r="B176" i="1"/>
  <c r="C276" i="1"/>
  <c r="B175" i="1"/>
  <c r="C275" i="1"/>
  <c r="B174" i="1"/>
  <c r="C274" i="1"/>
  <c r="B173" i="1"/>
  <c r="C273" i="1"/>
  <c r="B172" i="1"/>
  <c r="C272" i="1"/>
  <c r="B171" i="1"/>
  <c r="C271" i="1"/>
  <c r="B170" i="1"/>
  <c r="C270" i="1"/>
  <c r="B169" i="1"/>
  <c r="C269" i="1"/>
  <c r="B168" i="1"/>
  <c r="C268" i="1"/>
  <c r="B167" i="1"/>
  <c r="C267" i="1"/>
  <c r="B166" i="1"/>
  <c r="C266" i="1"/>
  <c r="B165" i="1"/>
  <c r="C265" i="1"/>
  <c r="B164" i="1"/>
  <c r="C264" i="1"/>
  <c r="B163" i="1"/>
  <c r="C263" i="1"/>
  <c r="B162" i="1"/>
  <c r="C262" i="1"/>
  <c r="B161" i="1"/>
  <c r="C261" i="1"/>
  <c r="B160" i="1"/>
  <c r="C260" i="1"/>
  <c r="B159" i="1"/>
  <c r="C259" i="1"/>
  <c r="B158" i="1"/>
  <c r="C258" i="1"/>
  <c r="B157" i="1"/>
  <c r="C257" i="1"/>
  <c r="B156" i="1"/>
  <c r="C256" i="1"/>
  <c r="B155" i="1"/>
  <c r="C255" i="1"/>
  <c r="B154" i="1"/>
  <c r="C254" i="1"/>
  <c r="B153" i="1"/>
  <c r="C253" i="1"/>
  <c r="B152" i="1"/>
  <c r="C252" i="1"/>
  <c r="B151" i="1"/>
  <c r="C251" i="1"/>
  <c r="B150" i="1"/>
  <c r="C250" i="1"/>
  <c r="B149" i="1"/>
  <c r="C249" i="1"/>
  <c r="B148" i="1"/>
  <c r="C248" i="1"/>
  <c r="B147" i="1"/>
  <c r="C247" i="1"/>
  <c r="B146" i="1"/>
  <c r="C246" i="1"/>
  <c r="B145" i="1"/>
  <c r="C245" i="1"/>
  <c r="B144" i="1"/>
  <c r="C244" i="1"/>
  <c r="B143" i="1"/>
  <c r="C243" i="1"/>
  <c r="B142" i="1"/>
  <c r="C242" i="1"/>
  <c r="B141" i="1"/>
  <c r="C241" i="1"/>
  <c r="B140" i="1"/>
  <c r="C240" i="1"/>
  <c r="B139" i="1"/>
  <c r="C239" i="1"/>
  <c r="B138" i="1"/>
  <c r="C238" i="1"/>
  <c r="B137" i="1"/>
  <c r="C237" i="1"/>
  <c r="B136" i="1"/>
  <c r="C236" i="1"/>
  <c r="B135" i="1"/>
  <c r="C235" i="1"/>
  <c r="B134" i="1"/>
  <c r="C234" i="1"/>
  <c r="B133" i="1"/>
  <c r="C233" i="1"/>
  <c r="B132" i="1"/>
  <c r="C232" i="1"/>
  <c r="B131" i="1"/>
  <c r="C231" i="1"/>
  <c r="B130" i="1"/>
  <c r="C230" i="1"/>
  <c r="B129" i="1"/>
  <c r="C229" i="1"/>
  <c r="B128" i="1"/>
  <c r="C228" i="1"/>
  <c r="B127" i="1"/>
  <c r="C227" i="1"/>
  <c r="B126" i="1"/>
  <c r="C226" i="1"/>
  <c r="B125" i="1"/>
  <c r="C225" i="1"/>
  <c r="B124" i="1"/>
  <c r="C224" i="1"/>
  <c r="B123" i="1"/>
  <c r="C223" i="1"/>
  <c r="B122" i="1"/>
  <c r="C222" i="1"/>
  <c r="B121" i="1"/>
  <c r="C221" i="1"/>
  <c r="B120" i="1"/>
  <c r="C220" i="1"/>
  <c r="B119" i="1"/>
  <c r="C219" i="1"/>
  <c r="B118" i="1"/>
  <c r="C218" i="1"/>
  <c r="B117" i="1"/>
  <c r="C217" i="1"/>
  <c r="B116" i="1"/>
  <c r="C216" i="1"/>
  <c r="B115" i="1"/>
  <c r="C215" i="1"/>
  <c r="B114" i="1"/>
  <c r="C214" i="1"/>
  <c r="B113" i="1"/>
  <c r="C213" i="1"/>
  <c r="B112" i="1"/>
  <c r="C212" i="1"/>
  <c r="B111" i="1"/>
  <c r="C211" i="1"/>
  <c r="B110" i="1"/>
  <c r="C210" i="1"/>
  <c r="B109" i="1"/>
  <c r="C209" i="1"/>
  <c r="B108" i="1"/>
  <c r="C208" i="1"/>
  <c r="B107" i="1"/>
  <c r="C207" i="1"/>
  <c r="B106" i="1"/>
  <c r="C206" i="1"/>
  <c r="B105" i="1"/>
  <c r="C205" i="1"/>
  <c r="B104" i="1"/>
  <c r="C204" i="1"/>
  <c r="B103" i="1"/>
  <c r="C203" i="1"/>
  <c r="B102" i="1"/>
  <c r="C202" i="1"/>
  <c r="B101" i="1"/>
  <c r="C201" i="1"/>
  <c r="B100" i="1"/>
  <c r="C200" i="1"/>
  <c r="B99" i="1"/>
  <c r="C199" i="1"/>
  <c r="B98" i="1"/>
  <c r="C198" i="1"/>
  <c r="B97" i="1"/>
  <c r="C197" i="1"/>
  <c r="B96" i="1"/>
  <c r="C196" i="1"/>
  <c r="B95" i="1"/>
  <c r="C195" i="1"/>
  <c r="B94" i="1"/>
  <c r="C194" i="1"/>
  <c r="B93" i="1"/>
  <c r="C193" i="1"/>
  <c r="B92" i="1"/>
  <c r="C192" i="1"/>
  <c r="B91" i="1"/>
  <c r="C191" i="1"/>
  <c r="B90" i="1"/>
  <c r="C190" i="1"/>
  <c r="B89" i="1"/>
  <c r="C189" i="1"/>
  <c r="B88" i="1"/>
  <c r="C188" i="1"/>
  <c r="B87" i="1"/>
  <c r="C187" i="1"/>
  <c r="B86" i="1"/>
  <c r="C186" i="1"/>
  <c r="B85" i="1"/>
  <c r="C185" i="1"/>
  <c r="B84" i="1"/>
  <c r="C184" i="1"/>
  <c r="B83" i="1"/>
  <c r="C183" i="1"/>
  <c r="B82" i="1"/>
  <c r="C182" i="1"/>
  <c r="B81" i="1"/>
  <c r="C181" i="1"/>
  <c r="B80" i="1"/>
  <c r="C180" i="1"/>
  <c r="B79" i="1"/>
  <c r="C179" i="1"/>
  <c r="B78" i="1"/>
  <c r="C178" i="1"/>
  <c r="B77" i="1"/>
  <c r="C177" i="1"/>
  <c r="B76" i="1"/>
  <c r="C176" i="1"/>
  <c r="B75" i="1"/>
  <c r="C175" i="1"/>
  <c r="B74" i="1"/>
  <c r="C174" i="1"/>
  <c r="B73" i="1"/>
  <c r="C173" i="1"/>
  <c r="B72" i="1"/>
  <c r="C172" i="1"/>
  <c r="B71" i="1"/>
  <c r="C171" i="1"/>
  <c r="B70" i="1"/>
  <c r="C170" i="1"/>
  <c r="B69" i="1"/>
  <c r="C169" i="1"/>
  <c r="B68" i="1"/>
  <c r="C168" i="1"/>
  <c r="B67" i="1"/>
  <c r="C167" i="1"/>
  <c r="B66" i="1"/>
  <c r="C166" i="1"/>
  <c r="B65" i="1"/>
  <c r="C165" i="1"/>
  <c r="B64" i="1"/>
  <c r="C164" i="1"/>
  <c r="B63" i="1"/>
  <c r="C163" i="1"/>
  <c r="B62" i="1"/>
  <c r="C162" i="1"/>
  <c r="B61" i="1"/>
  <c r="C161" i="1"/>
  <c r="B60" i="1"/>
  <c r="C160" i="1"/>
  <c r="B59" i="1"/>
  <c r="C159" i="1"/>
  <c r="B58" i="1"/>
  <c r="C158" i="1"/>
  <c r="B57" i="1"/>
  <c r="C157" i="1"/>
  <c r="B56" i="1"/>
  <c r="C156" i="1"/>
  <c r="B55" i="1"/>
  <c r="C155" i="1"/>
  <c r="B54" i="1"/>
  <c r="C154" i="1"/>
  <c r="B53" i="1"/>
  <c r="C153" i="1"/>
  <c r="B52" i="1"/>
  <c r="C152" i="1"/>
  <c r="B51" i="1"/>
  <c r="C151" i="1"/>
  <c r="B50" i="1"/>
  <c r="C150" i="1"/>
  <c r="B49" i="1"/>
  <c r="C149" i="1"/>
  <c r="B48" i="1"/>
  <c r="C148" i="1"/>
  <c r="B47" i="1"/>
  <c r="C147" i="1"/>
  <c r="B46" i="1"/>
  <c r="C146" i="1"/>
  <c r="B45" i="1"/>
  <c r="C145" i="1"/>
  <c r="B44" i="1"/>
  <c r="C144" i="1"/>
  <c r="B43" i="1"/>
  <c r="C143" i="1"/>
  <c r="B42" i="1"/>
  <c r="C142" i="1"/>
  <c r="B41" i="1"/>
  <c r="C141" i="1"/>
  <c r="B40" i="1"/>
  <c r="C140" i="1"/>
  <c r="B39" i="1"/>
  <c r="C139" i="1"/>
  <c r="B38" i="1"/>
  <c r="C138" i="1"/>
  <c r="B37" i="1"/>
  <c r="C137" i="1"/>
  <c r="B36" i="1"/>
  <c r="C136" i="1"/>
  <c r="B35" i="1"/>
  <c r="C135" i="1"/>
  <c r="B34" i="1"/>
  <c r="C134" i="1"/>
  <c r="B33" i="1"/>
  <c r="C133" i="1"/>
  <c r="B32" i="1"/>
  <c r="C132" i="1"/>
  <c r="B31" i="1"/>
  <c r="C131" i="1"/>
  <c r="B30" i="1"/>
  <c r="C130" i="1"/>
  <c r="B29" i="1"/>
  <c r="C129" i="1"/>
  <c r="B28" i="1"/>
  <c r="C128" i="1"/>
  <c r="B27" i="1"/>
  <c r="C127" i="1"/>
  <c r="B26" i="1"/>
  <c r="C126" i="1"/>
  <c r="B25" i="1"/>
  <c r="C125" i="1"/>
  <c r="B24" i="1"/>
  <c r="C124" i="1"/>
  <c r="B23" i="1"/>
  <c r="C123" i="1"/>
  <c r="B22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B21" i="1"/>
  <c r="C21" i="1"/>
</calcChain>
</file>

<file path=xl/connections.xml><?xml version="1.0" encoding="utf-8"?>
<connections xmlns="http://schemas.openxmlformats.org/spreadsheetml/2006/main">
  <connection id="1" name="ViscoBeamDyn.txt" type="6" refreshedVersion="0" background="1" saveData="1">
    <textPr fileType="mac" sourceFile="Macintosh HD:Users:evandroparentejunior:Documents:evandro:FASTv4:dat:visco:ViscoBeamDyn.txt" delimited="0" thousands=" ">
      <textFields count="2">
        <textField/>
        <textField position="15"/>
      </textFields>
    </textPr>
  </connection>
  <connection id="2" name="ViscoBeamDyn.txt1" type="6" refreshedVersion="0" background="1" saveData="1">
    <textPr fileType="mac" sourceFile="Macintosh HD:Users:evandroparentejunior:Documents:evandro:FASTv4:dat:visco:ViscoBeamDyn.txt" delimited="0" thousands=" ">
      <textFields count="2">
        <textField/>
        <textField position="15"/>
      </textFields>
    </textPr>
  </connection>
  <connection id="3" name="ViscoBeamStc.txt" type="6" refreshedVersion="0" background="1" saveData="1">
    <textPr fileType="mac" sourceFile="Macintosh HD:Users:evandroparentejunior:Documents:evandro:FASTv4:dat:visco:ViscoBeamStc.txt" delimited="0" thousands=" ">
      <textFields count="2">
        <textField/>
        <textField position="15"/>
      </textFields>
    </textPr>
  </connection>
  <connection id="4" name="ViscoBeamStc.txt1" type="6" refreshedVersion="0" background="1" saveData="1">
    <textPr fileType="mac" sourceFile="Macintosh HD:Users:evandroparentejunior:Documents:evandro:FASTv4:dat:visco:ViscoBeamStc.txt" delimited="0" thousands=" ">
      <textFields count="2">
        <textField/>
        <textField position="15"/>
      </textFields>
    </textPr>
  </connection>
  <connection id="5" name="ViscoQ4.txt" type="6" refreshedVersion="0" background="1" saveData="1">
    <textPr fileType="mac" sourceFile="Macintosh HD:Users:evandroparentejunior:Documents:evandro:FASTv4:dat:visco:ViscoQ4.txt" delimited="0" thousands=" ">
      <textFields count="2">
        <textField/>
        <textField position="15"/>
      </textFields>
    </textPr>
  </connection>
</connections>
</file>

<file path=xl/sharedStrings.xml><?xml version="1.0" encoding="utf-8"?>
<sst xmlns="http://schemas.openxmlformats.org/spreadsheetml/2006/main" count="22" uniqueCount="20">
  <si>
    <t>L</t>
  </si>
  <si>
    <t>h</t>
  </si>
  <si>
    <t>b</t>
  </si>
  <si>
    <t>P</t>
  </si>
  <si>
    <t>E0</t>
  </si>
  <si>
    <t>E1</t>
  </si>
  <si>
    <t>rho1</t>
  </si>
  <si>
    <t>D0</t>
  </si>
  <si>
    <t>Eoo</t>
  </si>
  <si>
    <t>D1</t>
  </si>
  <si>
    <t>tau1</t>
  </si>
  <si>
    <t>t (s)</t>
  </si>
  <si>
    <t>D</t>
  </si>
  <si>
    <t>P*L/A</t>
  </si>
  <si>
    <t>u (m)</t>
  </si>
  <si>
    <t>u (m) FEM</t>
  </si>
  <si>
    <t>dt = 5e-2</t>
  </si>
  <si>
    <t>t0</t>
  </si>
  <si>
    <t>t1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</si>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</sst>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E+0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9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11" fontId="0" fillId="0" borderId="2" xfId="0" applyNumberFormat="1" applyBorder="1"/>
    <xf numFmtId="11" fontId="0" fillId="0" borderId="4" xfId="0" applyNumberFormat="1" applyBorder="1"/>
    <xf numFmtId="0" fontId="0" fillId="0" borderId="4" xfId="0" applyBorder="1"/>
    <xf numFmtId="0" fontId="0" fillId="0" borderId="2" xfId="0" applyBorder="1"/>
    <xf numFmtId="164" fontId="0" fillId="0" borderId="4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3" fillId="0" borderId="1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0" xfId="0" applyFont="1" applyBorder="1"/>
    <xf numFmtId="0" fontId="0" fillId="0" borderId="6" xfId="0" applyBorder="1"/>
    <xf numFmtId="164" fontId="0" fillId="0" borderId="13" xfId="0" applyNumberFormat="1" applyBorder="1"/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0" xfId="0" applyBorder="1"/>
    <xf numFmtId="0" fontId="4" fillId="0" borderId="0" xfId="0" applyFont="1" applyBorder="1"/>
    <xf numFmtId="164" fontId="0" fillId="0" borderId="0" xfId="0" applyNumberFormat="1" applyBorder="1"/>
    <xf numFmtId="164" fontId="0" fillId="0" borderId="2" xfId="0" applyNumberFormat="1" applyBorder="1"/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164" fontId="0" fillId="0" borderId="18" xfId="0" applyNumberFormat="1" applyBorder="1"/>
    <xf numFmtId="164" fontId="0" fillId="0" borderId="19" xfId="0" applyNumberFormat="1" applyBorder="1"/>
    <xf numFmtId="164" fontId="0" fillId="0" borderId="20" xfId="0" applyNumberFormat="1" applyBorder="1"/>
    <xf numFmtId="164" fontId="0" fillId="0" borderId="21" xfId="0" applyNumberFormat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5" xfId="0" applyFont="1" applyFill="1" applyBorder="1"/>
  </cellXfs>
  <cellStyles count="9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</c:v>
          </c:tx>
          <c:spPr>
            <a:ln w="25400"/>
          </c:spPr>
          <c:marker>
            <c:symbol val="none"/>
          </c:marker>
          <c:xVal>
            <c:numRef>
              <c:f>Sheet1!$A$21:$A$521</c:f>
              <c:numCache>
                <c:formatCode>0.00</c:formatCode>
                <c:ptCount val="501"/>
                <c:pt idx="0">
                  <c:v>0.0</c:v>
                </c:pt>
                <c:pt idx="1">
                  <c:v>0.100000001</c:v>
                </c:pt>
                <c:pt idx="2">
                  <c:v>0.200000003</c:v>
                </c:pt>
                <c:pt idx="3">
                  <c:v>0.300000012</c:v>
                </c:pt>
                <c:pt idx="4">
                  <c:v>0.400000006</c:v>
                </c:pt>
                <c:pt idx="5">
                  <c:v>0.5</c:v>
                </c:pt>
                <c:pt idx="6">
                  <c:v>0.600000024</c:v>
                </c:pt>
                <c:pt idx="7">
                  <c:v>0.699999988</c:v>
                </c:pt>
                <c:pt idx="8">
                  <c:v>0.800000012</c:v>
                </c:pt>
                <c:pt idx="9">
                  <c:v>0.899999976</c:v>
                </c:pt>
                <c:pt idx="10">
                  <c:v>1.0</c:v>
                </c:pt>
                <c:pt idx="11">
                  <c:v>1.10000002</c:v>
                </c:pt>
                <c:pt idx="12">
                  <c:v>1.20000005</c:v>
                </c:pt>
                <c:pt idx="13">
                  <c:v>1.29999995</c:v>
                </c:pt>
                <c:pt idx="14">
                  <c:v>1.39999998</c:v>
                </c:pt>
                <c:pt idx="15">
                  <c:v>1.5</c:v>
                </c:pt>
                <c:pt idx="16">
                  <c:v>1.60000002</c:v>
                </c:pt>
                <c:pt idx="17">
                  <c:v>1.70000005</c:v>
                </c:pt>
                <c:pt idx="18">
                  <c:v>1.79999995</c:v>
                </c:pt>
                <c:pt idx="19">
                  <c:v>1.89999998</c:v>
                </c:pt>
                <c:pt idx="20">
                  <c:v>2.0</c:v>
                </c:pt>
                <c:pt idx="21">
                  <c:v>2.0999999</c:v>
                </c:pt>
                <c:pt idx="22">
                  <c:v>2.20000005</c:v>
                </c:pt>
                <c:pt idx="23">
                  <c:v>2.29999995</c:v>
                </c:pt>
                <c:pt idx="24">
                  <c:v>2.4000001</c:v>
                </c:pt>
                <c:pt idx="25">
                  <c:v>2.5</c:v>
                </c:pt>
                <c:pt idx="26">
                  <c:v>2.5999999</c:v>
                </c:pt>
                <c:pt idx="27">
                  <c:v>2.70000005</c:v>
                </c:pt>
                <c:pt idx="28">
                  <c:v>2.79999995</c:v>
                </c:pt>
                <c:pt idx="29">
                  <c:v>2.9000001</c:v>
                </c:pt>
                <c:pt idx="30">
                  <c:v>3.0</c:v>
                </c:pt>
                <c:pt idx="31">
                  <c:v>3.0999999</c:v>
                </c:pt>
                <c:pt idx="32">
                  <c:v>3.20000005</c:v>
                </c:pt>
                <c:pt idx="33">
                  <c:v>3.29999995</c:v>
                </c:pt>
                <c:pt idx="34">
                  <c:v>3.4000001</c:v>
                </c:pt>
                <c:pt idx="35">
                  <c:v>3.5</c:v>
                </c:pt>
                <c:pt idx="36">
                  <c:v>3.5999999</c:v>
                </c:pt>
                <c:pt idx="37">
                  <c:v>3.70000005</c:v>
                </c:pt>
                <c:pt idx="38">
                  <c:v>3.79999995</c:v>
                </c:pt>
                <c:pt idx="39">
                  <c:v>3.9000001</c:v>
                </c:pt>
                <c:pt idx="40">
                  <c:v>4.0</c:v>
                </c:pt>
                <c:pt idx="41">
                  <c:v>4.0999999</c:v>
                </c:pt>
                <c:pt idx="42">
                  <c:v>4.19999981</c:v>
                </c:pt>
                <c:pt idx="43">
                  <c:v>4.30000019</c:v>
                </c:pt>
                <c:pt idx="44">
                  <c:v>4.4000001</c:v>
                </c:pt>
                <c:pt idx="45">
                  <c:v>4.5</c:v>
                </c:pt>
                <c:pt idx="46">
                  <c:v>4.5999999</c:v>
                </c:pt>
                <c:pt idx="47">
                  <c:v>4.699999809999999</c:v>
                </c:pt>
                <c:pt idx="48">
                  <c:v>4.80000019</c:v>
                </c:pt>
                <c:pt idx="49">
                  <c:v>4.9000001</c:v>
                </c:pt>
                <c:pt idx="50">
                  <c:v>5.0</c:v>
                </c:pt>
                <c:pt idx="51">
                  <c:v>5.0999999</c:v>
                </c:pt>
                <c:pt idx="52">
                  <c:v>5.19999981</c:v>
                </c:pt>
                <c:pt idx="53">
                  <c:v>5.30000019</c:v>
                </c:pt>
                <c:pt idx="54">
                  <c:v>5.4000001</c:v>
                </c:pt>
                <c:pt idx="55">
                  <c:v>5.5</c:v>
                </c:pt>
                <c:pt idx="56">
                  <c:v>5.5999999</c:v>
                </c:pt>
                <c:pt idx="57">
                  <c:v>5.699999809999999</c:v>
                </c:pt>
                <c:pt idx="58">
                  <c:v>5.80000019</c:v>
                </c:pt>
                <c:pt idx="59">
                  <c:v>5.9000001</c:v>
                </c:pt>
                <c:pt idx="60">
                  <c:v>6.0</c:v>
                </c:pt>
                <c:pt idx="61">
                  <c:v>6.0999999</c:v>
                </c:pt>
                <c:pt idx="62">
                  <c:v>6.19999981</c:v>
                </c:pt>
                <c:pt idx="63">
                  <c:v>6.30000019</c:v>
                </c:pt>
                <c:pt idx="64">
                  <c:v>6.4000001</c:v>
                </c:pt>
                <c:pt idx="65">
                  <c:v>6.5</c:v>
                </c:pt>
                <c:pt idx="66">
                  <c:v>6.5999999</c:v>
                </c:pt>
                <c:pt idx="67">
                  <c:v>6.699999809999999</c:v>
                </c:pt>
                <c:pt idx="68">
                  <c:v>6.80000019</c:v>
                </c:pt>
                <c:pt idx="69">
                  <c:v>6.9000001</c:v>
                </c:pt>
                <c:pt idx="70">
                  <c:v>7.0</c:v>
                </c:pt>
                <c:pt idx="71">
                  <c:v>7.0999999</c:v>
                </c:pt>
                <c:pt idx="72">
                  <c:v>7.19999981</c:v>
                </c:pt>
                <c:pt idx="73">
                  <c:v>7.30000019</c:v>
                </c:pt>
                <c:pt idx="74">
                  <c:v>7.4000001</c:v>
                </c:pt>
                <c:pt idx="75">
                  <c:v>7.5</c:v>
                </c:pt>
                <c:pt idx="76">
                  <c:v>7.5999999</c:v>
                </c:pt>
                <c:pt idx="77">
                  <c:v>7.699999809999999</c:v>
                </c:pt>
                <c:pt idx="78">
                  <c:v>7.80000019</c:v>
                </c:pt>
                <c:pt idx="79">
                  <c:v>7.9000001</c:v>
                </c:pt>
                <c:pt idx="80">
                  <c:v>8.0</c:v>
                </c:pt>
                <c:pt idx="81">
                  <c:v>8.100000380000001</c:v>
                </c:pt>
                <c:pt idx="82">
                  <c:v>8.19999981</c:v>
                </c:pt>
                <c:pt idx="83">
                  <c:v>8.30000019</c:v>
                </c:pt>
                <c:pt idx="84">
                  <c:v>8.39999962</c:v>
                </c:pt>
                <c:pt idx="85">
                  <c:v>8.5</c:v>
                </c:pt>
                <c:pt idx="86">
                  <c:v>8.600000380000001</c:v>
                </c:pt>
                <c:pt idx="87">
                  <c:v>8.69999981</c:v>
                </c:pt>
                <c:pt idx="88">
                  <c:v>8.80000019</c:v>
                </c:pt>
                <c:pt idx="89">
                  <c:v>8.89999962</c:v>
                </c:pt>
                <c:pt idx="90">
                  <c:v>9.0</c:v>
                </c:pt>
                <c:pt idx="91">
                  <c:v>9.100000380000001</c:v>
                </c:pt>
                <c:pt idx="92">
                  <c:v>9.19999981</c:v>
                </c:pt>
                <c:pt idx="93">
                  <c:v>9.30000019</c:v>
                </c:pt>
                <c:pt idx="94">
                  <c:v>9.39999962</c:v>
                </c:pt>
                <c:pt idx="95">
                  <c:v>9.5</c:v>
                </c:pt>
                <c:pt idx="96">
                  <c:v>9.600000380000001</c:v>
                </c:pt>
                <c:pt idx="97">
                  <c:v>9.69999981</c:v>
                </c:pt>
                <c:pt idx="98">
                  <c:v>9.80000019</c:v>
                </c:pt>
                <c:pt idx="99">
                  <c:v>9.89999962</c:v>
                </c:pt>
                <c:pt idx="100">
                  <c:v>10.0</c:v>
                </c:pt>
                <c:pt idx="101">
                  <c:v>10.1000004</c:v>
                </c:pt>
                <c:pt idx="102">
                  <c:v>10.1999998</c:v>
                </c:pt>
                <c:pt idx="103">
                  <c:v>10.3000002</c:v>
                </c:pt>
                <c:pt idx="104">
                  <c:v>10.3999996</c:v>
                </c:pt>
                <c:pt idx="105">
                  <c:v>10.5</c:v>
                </c:pt>
                <c:pt idx="106">
                  <c:v>10.6000004</c:v>
                </c:pt>
                <c:pt idx="107">
                  <c:v>10.6999998</c:v>
                </c:pt>
                <c:pt idx="108">
                  <c:v>10.8000002</c:v>
                </c:pt>
                <c:pt idx="109">
                  <c:v>10.8999996</c:v>
                </c:pt>
                <c:pt idx="110">
                  <c:v>11.0</c:v>
                </c:pt>
                <c:pt idx="111">
                  <c:v>11.1000004</c:v>
                </c:pt>
                <c:pt idx="112">
                  <c:v>11.1999998</c:v>
                </c:pt>
                <c:pt idx="113">
                  <c:v>11.3000002</c:v>
                </c:pt>
                <c:pt idx="114">
                  <c:v>11.3999996</c:v>
                </c:pt>
                <c:pt idx="115">
                  <c:v>11.5</c:v>
                </c:pt>
                <c:pt idx="116">
                  <c:v>11.6000004</c:v>
                </c:pt>
                <c:pt idx="117">
                  <c:v>11.6999998</c:v>
                </c:pt>
                <c:pt idx="118">
                  <c:v>11.8000002</c:v>
                </c:pt>
                <c:pt idx="119">
                  <c:v>11.8999996</c:v>
                </c:pt>
                <c:pt idx="120">
                  <c:v>12.0</c:v>
                </c:pt>
                <c:pt idx="121">
                  <c:v>12.1000004</c:v>
                </c:pt>
                <c:pt idx="122">
                  <c:v>12.1999998</c:v>
                </c:pt>
                <c:pt idx="123">
                  <c:v>12.3000002</c:v>
                </c:pt>
                <c:pt idx="124">
                  <c:v>12.3999996</c:v>
                </c:pt>
                <c:pt idx="125">
                  <c:v>12.5</c:v>
                </c:pt>
                <c:pt idx="126">
                  <c:v>12.6000004</c:v>
                </c:pt>
                <c:pt idx="127">
                  <c:v>12.6999998</c:v>
                </c:pt>
                <c:pt idx="128">
                  <c:v>12.8000002</c:v>
                </c:pt>
                <c:pt idx="129">
                  <c:v>12.8999996</c:v>
                </c:pt>
                <c:pt idx="130">
                  <c:v>13.0</c:v>
                </c:pt>
                <c:pt idx="131">
                  <c:v>13.1000004</c:v>
                </c:pt>
                <c:pt idx="132">
                  <c:v>13.1999998</c:v>
                </c:pt>
                <c:pt idx="133">
                  <c:v>13.3000002</c:v>
                </c:pt>
                <c:pt idx="134">
                  <c:v>13.3999996</c:v>
                </c:pt>
                <c:pt idx="135">
                  <c:v>13.5</c:v>
                </c:pt>
                <c:pt idx="136">
                  <c:v>13.6000004</c:v>
                </c:pt>
                <c:pt idx="137">
                  <c:v>13.6999998</c:v>
                </c:pt>
                <c:pt idx="138">
                  <c:v>13.8000002</c:v>
                </c:pt>
                <c:pt idx="139">
                  <c:v>13.8999996</c:v>
                </c:pt>
                <c:pt idx="140">
                  <c:v>14.0</c:v>
                </c:pt>
                <c:pt idx="141">
                  <c:v>14.1000004</c:v>
                </c:pt>
                <c:pt idx="142">
                  <c:v>14.1999998</c:v>
                </c:pt>
                <c:pt idx="143">
                  <c:v>14.3000002</c:v>
                </c:pt>
                <c:pt idx="144">
                  <c:v>14.3999996</c:v>
                </c:pt>
                <c:pt idx="145">
                  <c:v>14.5</c:v>
                </c:pt>
                <c:pt idx="146">
                  <c:v>14.6000004</c:v>
                </c:pt>
                <c:pt idx="147">
                  <c:v>14.6999998</c:v>
                </c:pt>
                <c:pt idx="148">
                  <c:v>14.8000002</c:v>
                </c:pt>
                <c:pt idx="149">
                  <c:v>14.8999996</c:v>
                </c:pt>
                <c:pt idx="150">
                  <c:v>15.0</c:v>
                </c:pt>
                <c:pt idx="151">
                  <c:v>15.1000004</c:v>
                </c:pt>
                <c:pt idx="152">
                  <c:v>15.1999998</c:v>
                </c:pt>
                <c:pt idx="153">
                  <c:v>15.3000002</c:v>
                </c:pt>
                <c:pt idx="154">
                  <c:v>15.3999996</c:v>
                </c:pt>
                <c:pt idx="155">
                  <c:v>15.5</c:v>
                </c:pt>
                <c:pt idx="156">
                  <c:v>15.6000004</c:v>
                </c:pt>
                <c:pt idx="157">
                  <c:v>15.6999998</c:v>
                </c:pt>
                <c:pt idx="158">
                  <c:v>15.8000002</c:v>
                </c:pt>
                <c:pt idx="159">
                  <c:v>15.8999996</c:v>
                </c:pt>
                <c:pt idx="160">
                  <c:v>16.0</c:v>
                </c:pt>
                <c:pt idx="161">
                  <c:v>16.1000004</c:v>
                </c:pt>
                <c:pt idx="162">
                  <c:v>16.2000008</c:v>
                </c:pt>
                <c:pt idx="163">
                  <c:v>16.2999992</c:v>
                </c:pt>
                <c:pt idx="164">
                  <c:v>16.3999996</c:v>
                </c:pt>
                <c:pt idx="165">
                  <c:v>16.5</c:v>
                </c:pt>
                <c:pt idx="166">
                  <c:v>16.6000004</c:v>
                </c:pt>
                <c:pt idx="167">
                  <c:v>16.7000008</c:v>
                </c:pt>
                <c:pt idx="168">
                  <c:v>16.7999992</c:v>
                </c:pt>
                <c:pt idx="169">
                  <c:v>16.8999996</c:v>
                </c:pt>
                <c:pt idx="170">
                  <c:v>17.0</c:v>
                </c:pt>
                <c:pt idx="171">
                  <c:v>17.1000004</c:v>
                </c:pt>
                <c:pt idx="172">
                  <c:v>17.2000008</c:v>
                </c:pt>
                <c:pt idx="173">
                  <c:v>17.2999992</c:v>
                </c:pt>
                <c:pt idx="174">
                  <c:v>17.3999996</c:v>
                </c:pt>
                <c:pt idx="175">
                  <c:v>17.5</c:v>
                </c:pt>
                <c:pt idx="176">
                  <c:v>17.6000004</c:v>
                </c:pt>
                <c:pt idx="177">
                  <c:v>17.7000008</c:v>
                </c:pt>
                <c:pt idx="178">
                  <c:v>17.7999992</c:v>
                </c:pt>
                <c:pt idx="179">
                  <c:v>17.8999996</c:v>
                </c:pt>
                <c:pt idx="180">
                  <c:v>18.0</c:v>
                </c:pt>
                <c:pt idx="181">
                  <c:v>18.1000004</c:v>
                </c:pt>
                <c:pt idx="182">
                  <c:v>18.2000008</c:v>
                </c:pt>
                <c:pt idx="183">
                  <c:v>18.2999992</c:v>
                </c:pt>
                <c:pt idx="184">
                  <c:v>18.3999996</c:v>
                </c:pt>
                <c:pt idx="185">
                  <c:v>18.5</c:v>
                </c:pt>
                <c:pt idx="186">
                  <c:v>18.6000004</c:v>
                </c:pt>
                <c:pt idx="187">
                  <c:v>18.7000008</c:v>
                </c:pt>
                <c:pt idx="188">
                  <c:v>18.7999992</c:v>
                </c:pt>
                <c:pt idx="189">
                  <c:v>18.8999996</c:v>
                </c:pt>
                <c:pt idx="190">
                  <c:v>19.0</c:v>
                </c:pt>
                <c:pt idx="191">
                  <c:v>19.1000004</c:v>
                </c:pt>
                <c:pt idx="192">
                  <c:v>19.2000008</c:v>
                </c:pt>
                <c:pt idx="193">
                  <c:v>19.2999992</c:v>
                </c:pt>
                <c:pt idx="194">
                  <c:v>19.3999996</c:v>
                </c:pt>
                <c:pt idx="195">
                  <c:v>19.5</c:v>
                </c:pt>
                <c:pt idx="196">
                  <c:v>19.6000004</c:v>
                </c:pt>
                <c:pt idx="197">
                  <c:v>19.7000008</c:v>
                </c:pt>
                <c:pt idx="198">
                  <c:v>19.7999992</c:v>
                </c:pt>
                <c:pt idx="199">
                  <c:v>19.8999996</c:v>
                </c:pt>
                <c:pt idx="200">
                  <c:v>20.0</c:v>
                </c:pt>
                <c:pt idx="201">
                  <c:v>20.1000004</c:v>
                </c:pt>
                <c:pt idx="202">
                  <c:v>20.2000008</c:v>
                </c:pt>
                <c:pt idx="203">
                  <c:v>20.2999992</c:v>
                </c:pt>
                <c:pt idx="204">
                  <c:v>20.3999996</c:v>
                </c:pt>
                <c:pt idx="205">
                  <c:v>20.5</c:v>
                </c:pt>
                <c:pt idx="206">
                  <c:v>20.6000004</c:v>
                </c:pt>
                <c:pt idx="207">
                  <c:v>20.7000008</c:v>
                </c:pt>
                <c:pt idx="208">
                  <c:v>20.7999992</c:v>
                </c:pt>
                <c:pt idx="209">
                  <c:v>20.8999996</c:v>
                </c:pt>
                <c:pt idx="210">
                  <c:v>21.0</c:v>
                </c:pt>
                <c:pt idx="211">
                  <c:v>21.1000004</c:v>
                </c:pt>
                <c:pt idx="212">
                  <c:v>21.2000008</c:v>
                </c:pt>
                <c:pt idx="213">
                  <c:v>21.2999992</c:v>
                </c:pt>
                <c:pt idx="214">
                  <c:v>21.3999996</c:v>
                </c:pt>
                <c:pt idx="215">
                  <c:v>21.5</c:v>
                </c:pt>
                <c:pt idx="216">
                  <c:v>21.6000004</c:v>
                </c:pt>
                <c:pt idx="217">
                  <c:v>21.7000008</c:v>
                </c:pt>
                <c:pt idx="218">
                  <c:v>21.7999992</c:v>
                </c:pt>
                <c:pt idx="219">
                  <c:v>21.8999996</c:v>
                </c:pt>
                <c:pt idx="220">
                  <c:v>22.0</c:v>
                </c:pt>
                <c:pt idx="221">
                  <c:v>22.1000004</c:v>
                </c:pt>
                <c:pt idx="222">
                  <c:v>22.2000008</c:v>
                </c:pt>
                <c:pt idx="223">
                  <c:v>22.2999992</c:v>
                </c:pt>
                <c:pt idx="224">
                  <c:v>22.3999996</c:v>
                </c:pt>
                <c:pt idx="225">
                  <c:v>22.5</c:v>
                </c:pt>
                <c:pt idx="226">
                  <c:v>22.6000004</c:v>
                </c:pt>
                <c:pt idx="227">
                  <c:v>22.7000008</c:v>
                </c:pt>
                <c:pt idx="228">
                  <c:v>22.7999992</c:v>
                </c:pt>
                <c:pt idx="229">
                  <c:v>22.8999996</c:v>
                </c:pt>
                <c:pt idx="230">
                  <c:v>23.0</c:v>
                </c:pt>
                <c:pt idx="231">
                  <c:v>23.1000004</c:v>
                </c:pt>
                <c:pt idx="232">
                  <c:v>23.2000008</c:v>
                </c:pt>
                <c:pt idx="233">
                  <c:v>23.2999992</c:v>
                </c:pt>
                <c:pt idx="234">
                  <c:v>23.3999996</c:v>
                </c:pt>
                <c:pt idx="235">
                  <c:v>23.5</c:v>
                </c:pt>
                <c:pt idx="236">
                  <c:v>23.6000004</c:v>
                </c:pt>
                <c:pt idx="237">
                  <c:v>23.7000008</c:v>
                </c:pt>
                <c:pt idx="238">
                  <c:v>23.7999992</c:v>
                </c:pt>
                <c:pt idx="239">
                  <c:v>23.8999996</c:v>
                </c:pt>
                <c:pt idx="240">
                  <c:v>24.0</c:v>
                </c:pt>
                <c:pt idx="241">
                  <c:v>24.1000004</c:v>
                </c:pt>
                <c:pt idx="242">
                  <c:v>24.2000008</c:v>
                </c:pt>
                <c:pt idx="243">
                  <c:v>24.2999992</c:v>
                </c:pt>
                <c:pt idx="244">
                  <c:v>24.3999996</c:v>
                </c:pt>
                <c:pt idx="245">
                  <c:v>24.5</c:v>
                </c:pt>
                <c:pt idx="246">
                  <c:v>24.6000004</c:v>
                </c:pt>
                <c:pt idx="247">
                  <c:v>24.7000008</c:v>
                </c:pt>
                <c:pt idx="248">
                  <c:v>24.7999992</c:v>
                </c:pt>
                <c:pt idx="249">
                  <c:v>24.8999996</c:v>
                </c:pt>
                <c:pt idx="250">
                  <c:v>25.0</c:v>
                </c:pt>
                <c:pt idx="251">
                  <c:v>25.1000004</c:v>
                </c:pt>
                <c:pt idx="252">
                  <c:v>25.2000008</c:v>
                </c:pt>
                <c:pt idx="253">
                  <c:v>25.2999992</c:v>
                </c:pt>
                <c:pt idx="254">
                  <c:v>25.3999996</c:v>
                </c:pt>
                <c:pt idx="255">
                  <c:v>25.5</c:v>
                </c:pt>
                <c:pt idx="256">
                  <c:v>25.6000004</c:v>
                </c:pt>
                <c:pt idx="257">
                  <c:v>25.7000008</c:v>
                </c:pt>
                <c:pt idx="258">
                  <c:v>25.7999992</c:v>
                </c:pt>
                <c:pt idx="259">
                  <c:v>25.8999996</c:v>
                </c:pt>
                <c:pt idx="260">
                  <c:v>26.0</c:v>
                </c:pt>
                <c:pt idx="261">
                  <c:v>26.1000004</c:v>
                </c:pt>
                <c:pt idx="262">
                  <c:v>26.2000008</c:v>
                </c:pt>
                <c:pt idx="263">
                  <c:v>26.2999992</c:v>
                </c:pt>
                <c:pt idx="264">
                  <c:v>26.3999996</c:v>
                </c:pt>
                <c:pt idx="265">
                  <c:v>26.5</c:v>
                </c:pt>
                <c:pt idx="266">
                  <c:v>26.6000004</c:v>
                </c:pt>
                <c:pt idx="267">
                  <c:v>26.7000008</c:v>
                </c:pt>
                <c:pt idx="268">
                  <c:v>26.7999992</c:v>
                </c:pt>
                <c:pt idx="269">
                  <c:v>26.8999996</c:v>
                </c:pt>
                <c:pt idx="270">
                  <c:v>27.0</c:v>
                </c:pt>
                <c:pt idx="271">
                  <c:v>27.1000004</c:v>
                </c:pt>
                <c:pt idx="272">
                  <c:v>27.2000008</c:v>
                </c:pt>
                <c:pt idx="273">
                  <c:v>27.2999992</c:v>
                </c:pt>
                <c:pt idx="274">
                  <c:v>27.3999996</c:v>
                </c:pt>
                <c:pt idx="275">
                  <c:v>27.5</c:v>
                </c:pt>
                <c:pt idx="276">
                  <c:v>27.6000004</c:v>
                </c:pt>
                <c:pt idx="277">
                  <c:v>27.7000008</c:v>
                </c:pt>
                <c:pt idx="278">
                  <c:v>27.7999992</c:v>
                </c:pt>
                <c:pt idx="279">
                  <c:v>27.8999996</c:v>
                </c:pt>
                <c:pt idx="280">
                  <c:v>28.0</c:v>
                </c:pt>
                <c:pt idx="281">
                  <c:v>28.1000004</c:v>
                </c:pt>
                <c:pt idx="282">
                  <c:v>28.2000008</c:v>
                </c:pt>
                <c:pt idx="283">
                  <c:v>28.2999992</c:v>
                </c:pt>
                <c:pt idx="284">
                  <c:v>28.3999996</c:v>
                </c:pt>
                <c:pt idx="285">
                  <c:v>28.5</c:v>
                </c:pt>
                <c:pt idx="286">
                  <c:v>28.6000004</c:v>
                </c:pt>
                <c:pt idx="287">
                  <c:v>28.7000008</c:v>
                </c:pt>
                <c:pt idx="288">
                  <c:v>28.7999992</c:v>
                </c:pt>
                <c:pt idx="289">
                  <c:v>28.8999996</c:v>
                </c:pt>
                <c:pt idx="290">
                  <c:v>29.0</c:v>
                </c:pt>
                <c:pt idx="291">
                  <c:v>29.1000004</c:v>
                </c:pt>
                <c:pt idx="292">
                  <c:v>29.2000008</c:v>
                </c:pt>
                <c:pt idx="293">
                  <c:v>29.2999992</c:v>
                </c:pt>
                <c:pt idx="294">
                  <c:v>29.3999996</c:v>
                </c:pt>
                <c:pt idx="295">
                  <c:v>29.5</c:v>
                </c:pt>
                <c:pt idx="296">
                  <c:v>29.6000004</c:v>
                </c:pt>
                <c:pt idx="297">
                  <c:v>29.7000008</c:v>
                </c:pt>
                <c:pt idx="298">
                  <c:v>29.7999992</c:v>
                </c:pt>
                <c:pt idx="299">
                  <c:v>29.8999996</c:v>
                </c:pt>
                <c:pt idx="300">
                  <c:v>30.0</c:v>
                </c:pt>
                <c:pt idx="301">
                  <c:v>30.1000004</c:v>
                </c:pt>
                <c:pt idx="302">
                  <c:v>30.2000008</c:v>
                </c:pt>
                <c:pt idx="303">
                  <c:v>30.2999992</c:v>
                </c:pt>
                <c:pt idx="304">
                  <c:v>30.3999996</c:v>
                </c:pt>
                <c:pt idx="305">
                  <c:v>30.5</c:v>
                </c:pt>
                <c:pt idx="306">
                  <c:v>30.6000004</c:v>
                </c:pt>
                <c:pt idx="307">
                  <c:v>30.7000008</c:v>
                </c:pt>
                <c:pt idx="308">
                  <c:v>30.7999992</c:v>
                </c:pt>
                <c:pt idx="309">
                  <c:v>30.8999996</c:v>
                </c:pt>
                <c:pt idx="310">
                  <c:v>31.0</c:v>
                </c:pt>
                <c:pt idx="311">
                  <c:v>31.1000004</c:v>
                </c:pt>
                <c:pt idx="312">
                  <c:v>31.2000008</c:v>
                </c:pt>
                <c:pt idx="313">
                  <c:v>31.2999992</c:v>
                </c:pt>
                <c:pt idx="314">
                  <c:v>31.3999996</c:v>
                </c:pt>
                <c:pt idx="315">
                  <c:v>31.5</c:v>
                </c:pt>
                <c:pt idx="316">
                  <c:v>31.6000004</c:v>
                </c:pt>
                <c:pt idx="317">
                  <c:v>31.7000008</c:v>
                </c:pt>
                <c:pt idx="318">
                  <c:v>31.7999992</c:v>
                </c:pt>
                <c:pt idx="319">
                  <c:v>31.8999996</c:v>
                </c:pt>
                <c:pt idx="320">
                  <c:v>32.0</c:v>
                </c:pt>
                <c:pt idx="321">
                  <c:v>32.0999985</c:v>
                </c:pt>
                <c:pt idx="322">
                  <c:v>32.2000008</c:v>
                </c:pt>
                <c:pt idx="323">
                  <c:v>32.2999992</c:v>
                </c:pt>
                <c:pt idx="324">
                  <c:v>32.4000015</c:v>
                </c:pt>
                <c:pt idx="325">
                  <c:v>32.5</c:v>
                </c:pt>
                <c:pt idx="326">
                  <c:v>32.5999985</c:v>
                </c:pt>
                <c:pt idx="327">
                  <c:v>32.7000008</c:v>
                </c:pt>
                <c:pt idx="328">
                  <c:v>32.7999992</c:v>
                </c:pt>
                <c:pt idx="329">
                  <c:v>32.9000015</c:v>
                </c:pt>
                <c:pt idx="330">
                  <c:v>33.0</c:v>
                </c:pt>
                <c:pt idx="331">
                  <c:v>33.0999985</c:v>
                </c:pt>
                <c:pt idx="332">
                  <c:v>33.2000008</c:v>
                </c:pt>
                <c:pt idx="333">
                  <c:v>33.2999992</c:v>
                </c:pt>
                <c:pt idx="334">
                  <c:v>33.4000015</c:v>
                </c:pt>
                <c:pt idx="335">
                  <c:v>33.5</c:v>
                </c:pt>
                <c:pt idx="336">
                  <c:v>33.5999985</c:v>
                </c:pt>
                <c:pt idx="337">
                  <c:v>33.7000008</c:v>
                </c:pt>
                <c:pt idx="338">
                  <c:v>33.7999992</c:v>
                </c:pt>
                <c:pt idx="339">
                  <c:v>33.9000015</c:v>
                </c:pt>
                <c:pt idx="340">
                  <c:v>34.0</c:v>
                </c:pt>
                <c:pt idx="341">
                  <c:v>34.0999985</c:v>
                </c:pt>
                <c:pt idx="342">
                  <c:v>34.2000008</c:v>
                </c:pt>
                <c:pt idx="343">
                  <c:v>34.2999992</c:v>
                </c:pt>
                <c:pt idx="344">
                  <c:v>34.4000015</c:v>
                </c:pt>
                <c:pt idx="345">
                  <c:v>34.5</c:v>
                </c:pt>
                <c:pt idx="346">
                  <c:v>34.5999985</c:v>
                </c:pt>
                <c:pt idx="347">
                  <c:v>34.7000008</c:v>
                </c:pt>
                <c:pt idx="348">
                  <c:v>34.7999992</c:v>
                </c:pt>
                <c:pt idx="349">
                  <c:v>34.9000015</c:v>
                </c:pt>
                <c:pt idx="350">
                  <c:v>35.0</c:v>
                </c:pt>
                <c:pt idx="351">
                  <c:v>35.0999985</c:v>
                </c:pt>
                <c:pt idx="352">
                  <c:v>35.2000008</c:v>
                </c:pt>
                <c:pt idx="353">
                  <c:v>35.2999992</c:v>
                </c:pt>
                <c:pt idx="354">
                  <c:v>35.4000015</c:v>
                </c:pt>
                <c:pt idx="355">
                  <c:v>35.5</c:v>
                </c:pt>
                <c:pt idx="356">
                  <c:v>35.5999985</c:v>
                </c:pt>
                <c:pt idx="357">
                  <c:v>35.7000008</c:v>
                </c:pt>
                <c:pt idx="358">
                  <c:v>35.7999992</c:v>
                </c:pt>
                <c:pt idx="359">
                  <c:v>35.9000015</c:v>
                </c:pt>
                <c:pt idx="360">
                  <c:v>36.0</c:v>
                </c:pt>
                <c:pt idx="361">
                  <c:v>36.0999985</c:v>
                </c:pt>
                <c:pt idx="362">
                  <c:v>36.2000008</c:v>
                </c:pt>
                <c:pt idx="363">
                  <c:v>36.2999992</c:v>
                </c:pt>
                <c:pt idx="364">
                  <c:v>36.4000015</c:v>
                </c:pt>
                <c:pt idx="365">
                  <c:v>36.5</c:v>
                </c:pt>
                <c:pt idx="366">
                  <c:v>36.5999985</c:v>
                </c:pt>
                <c:pt idx="367">
                  <c:v>36.7000008</c:v>
                </c:pt>
                <c:pt idx="368">
                  <c:v>36.7999992</c:v>
                </c:pt>
                <c:pt idx="369">
                  <c:v>36.9000015</c:v>
                </c:pt>
                <c:pt idx="370">
                  <c:v>37.0</c:v>
                </c:pt>
                <c:pt idx="371">
                  <c:v>37.0999985</c:v>
                </c:pt>
                <c:pt idx="372">
                  <c:v>37.2000008</c:v>
                </c:pt>
                <c:pt idx="373">
                  <c:v>37.2999992</c:v>
                </c:pt>
                <c:pt idx="374">
                  <c:v>37.4000015</c:v>
                </c:pt>
                <c:pt idx="375">
                  <c:v>37.5</c:v>
                </c:pt>
                <c:pt idx="376">
                  <c:v>37.5999985</c:v>
                </c:pt>
                <c:pt idx="377">
                  <c:v>37.7000008</c:v>
                </c:pt>
                <c:pt idx="378">
                  <c:v>37.7999992</c:v>
                </c:pt>
                <c:pt idx="379">
                  <c:v>37.9000015</c:v>
                </c:pt>
                <c:pt idx="380">
                  <c:v>38.0</c:v>
                </c:pt>
                <c:pt idx="381">
                  <c:v>38.0999985</c:v>
                </c:pt>
                <c:pt idx="382">
                  <c:v>38.2000008</c:v>
                </c:pt>
                <c:pt idx="383">
                  <c:v>38.2999992</c:v>
                </c:pt>
                <c:pt idx="384">
                  <c:v>38.4000015</c:v>
                </c:pt>
                <c:pt idx="385">
                  <c:v>38.5</c:v>
                </c:pt>
                <c:pt idx="386">
                  <c:v>38.5999985</c:v>
                </c:pt>
                <c:pt idx="387">
                  <c:v>38.7000008</c:v>
                </c:pt>
                <c:pt idx="388">
                  <c:v>38.7999992</c:v>
                </c:pt>
                <c:pt idx="389">
                  <c:v>38.9000015</c:v>
                </c:pt>
                <c:pt idx="390">
                  <c:v>39.0</c:v>
                </c:pt>
                <c:pt idx="391">
                  <c:v>39.0999985</c:v>
                </c:pt>
                <c:pt idx="392">
                  <c:v>39.2000008</c:v>
                </c:pt>
                <c:pt idx="393">
                  <c:v>39.2999992</c:v>
                </c:pt>
                <c:pt idx="394">
                  <c:v>39.4000015</c:v>
                </c:pt>
                <c:pt idx="395">
                  <c:v>39.5</c:v>
                </c:pt>
                <c:pt idx="396">
                  <c:v>39.5999985</c:v>
                </c:pt>
                <c:pt idx="397">
                  <c:v>39.7000008</c:v>
                </c:pt>
                <c:pt idx="398">
                  <c:v>39.7999992</c:v>
                </c:pt>
                <c:pt idx="399">
                  <c:v>39.9000015</c:v>
                </c:pt>
                <c:pt idx="400">
                  <c:v>40.0</c:v>
                </c:pt>
              </c:numCache>
            </c:numRef>
          </c:xVal>
          <c:yVal>
            <c:numRef>
              <c:f>Sheet1!$C$21:$C$521</c:f>
              <c:numCache>
                <c:formatCode>0.0000E+00</c:formatCode>
                <c:ptCount val="501"/>
                <c:pt idx="0">
                  <c:v>2E-6</c:v>
                </c:pt>
                <c:pt idx="1">
                  <c:v>2.15841061511428E-6</c:v>
                </c:pt>
                <c:pt idx="2">
                  <c:v>2.3136844913932E-6</c:v>
                </c:pt>
                <c:pt idx="3">
                  <c:v>2.46588374940789E-6</c:v>
                </c:pt>
                <c:pt idx="4">
                  <c:v>2.61506923776883E-6</c:v>
                </c:pt>
                <c:pt idx="5">
                  <c:v>2.76130065571232E-6</c:v>
                </c:pt>
                <c:pt idx="6">
                  <c:v>2.90463654032048E-6</c:v>
                </c:pt>
                <c:pt idx="7">
                  <c:v>3.04513410011787E-6</c:v>
                </c:pt>
                <c:pt idx="8">
                  <c:v>3.18284970463147E-6</c:v>
                </c:pt>
                <c:pt idx="9">
                  <c:v>3.31783827663545E-6</c:v>
                </c:pt>
                <c:pt idx="10">
                  <c:v>3.45015397537614E-6</c:v>
                </c:pt>
                <c:pt idx="11">
                  <c:v>3.57984964198077E-6</c:v>
                </c:pt>
                <c:pt idx="12">
                  <c:v>3.7069771743978E-6</c:v>
                </c:pt>
                <c:pt idx="13">
                  <c:v>3.83158725188734E-6</c:v>
                </c:pt>
                <c:pt idx="14">
                  <c:v>3.95373004416912E-6</c:v>
                </c:pt>
                <c:pt idx="15">
                  <c:v>4.07345423454626E-6</c:v>
                </c:pt>
                <c:pt idx="16">
                  <c:v>4.19080772664724E-6</c:v>
                </c:pt>
                <c:pt idx="17">
                  <c:v>4.30583747484075E-6</c:v>
                </c:pt>
                <c:pt idx="18">
                  <c:v>4.41858933561764E-6</c:v>
                </c:pt>
                <c:pt idx="19">
                  <c:v>4.52910870441759E-6</c:v>
                </c:pt>
                <c:pt idx="20">
                  <c:v>4.63743963171489E-6</c:v>
                </c:pt>
                <c:pt idx="21">
                  <c:v>4.74362533635205E-6</c:v>
                </c:pt>
                <c:pt idx="22">
                  <c:v>4.84770868285778E-6</c:v>
                </c:pt>
                <c:pt idx="23">
                  <c:v>4.9497307854419E-6</c:v>
                </c:pt>
                <c:pt idx="24">
                  <c:v>5.04973296455621E-6</c:v>
                </c:pt>
                <c:pt idx="25">
                  <c:v>5.14775472229893E-6</c:v>
                </c:pt>
                <c:pt idx="26">
                  <c:v>5.24383552111516E-6</c:v>
                </c:pt>
                <c:pt idx="27">
                  <c:v>5.33801402762794E-6</c:v>
                </c:pt>
                <c:pt idx="28">
                  <c:v>5.43032744351276E-6</c:v>
                </c:pt>
                <c:pt idx="29">
                  <c:v>5.52081315706052E-6</c:v>
                </c:pt>
                <c:pt idx="30">
                  <c:v>5.60950691124779E-6</c:v>
                </c:pt>
                <c:pt idx="31">
                  <c:v>5.69644441317149E-6</c:v>
                </c:pt>
                <c:pt idx="32">
                  <c:v>5.78166064983901E-6</c:v>
                </c:pt>
                <c:pt idx="33">
                  <c:v>5.8651892827183E-6</c:v>
                </c:pt>
                <c:pt idx="34">
                  <c:v>5.947064142134E-6</c:v>
                </c:pt>
                <c:pt idx="35">
                  <c:v>6.02731756966872E-6</c:v>
                </c:pt>
                <c:pt idx="36">
                  <c:v>6.10598187443986E-6</c:v>
                </c:pt>
                <c:pt idx="37">
                  <c:v>6.18308871400084E-6</c:v>
                </c:pt>
                <c:pt idx="38">
                  <c:v>6.25866854650741E-6</c:v>
                </c:pt>
                <c:pt idx="39">
                  <c:v>6.33275198290317E-6</c:v>
                </c:pt>
                <c:pt idx="40">
                  <c:v>6.40536828706223E-6</c:v>
                </c:pt>
                <c:pt idx="41">
                  <c:v>6.47654669348294E-6</c:v>
                </c:pt>
                <c:pt idx="42">
                  <c:v>6.54631568132736E-6</c:v>
                </c:pt>
                <c:pt idx="43">
                  <c:v>6.61470347009928E-6</c:v>
                </c:pt>
                <c:pt idx="44">
                  <c:v>6.68173677291261E-6</c:v>
                </c:pt>
                <c:pt idx="45">
                  <c:v>6.74744272207521E-6</c:v>
                </c:pt>
                <c:pt idx="46">
                  <c:v>6.81184760756084E-6</c:v>
                </c:pt>
                <c:pt idx="47">
                  <c:v>6.87497719838097E-6</c:v>
                </c:pt>
                <c:pt idx="48">
                  <c:v>6.93685702859854E-6</c:v>
                </c:pt>
                <c:pt idx="49">
                  <c:v>6.99751126923858E-6</c:v>
                </c:pt>
                <c:pt idx="50">
                  <c:v>7.05696447062846E-6</c:v>
                </c:pt>
                <c:pt idx="51">
                  <c:v>7.11524042092018E-6</c:v>
                </c:pt>
                <c:pt idx="52">
                  <c:v>7.17236243687953E-6</c:v>
                </c:pt>
                <c:pt idx="53">
                  <c:v>7.2283536226821E-6</c:v>
                </c:pt>
                <c:pt idx="54">
                  <c:v>7.28323584917577E-6</c:v>
                </c:pt>
                <c:pt idx="55">
                  <c:v>7.33703133041536E-6</c:v>
                </c:pt>
                <c:pt idx="56">
                  <c:v>7.38976159081092E-6</c:v>
                </c:pt>
                <c:pt idx="57">
                  <c:v>7.44144772824458E-6</c:v>
                </c:pt>
                <c:pt idx="58">
                  <c:v>7.49211064823895E-6</c:v>
                </c:pt>
                <c:pt idx="59">
                  <c:v>7.54177014035555E-6</c:v>
                </c:pt>
                <c:pt idx="60">
                  <c:v>7.59044630470238E-6</c:v>
                </c:pt>
                <c:pt idx="61">
                  <c:v>7.63815861737106E-6</c:v>
                </c:pt>
                <c:pt idx="62">
                  <c:v>7.68492616851479E-6</c:v>
                </c:pt>
                <c:pt idx="63">
                  <c:v>7.73076787423266E-6</c:v>
                </c:pt>
                <c:pt idx="64">
                  <c:v>7.77570164086041E-6</c:v>
                </c:pt>
                <c:pt idx="65">
                  <c:v>7.8197456557279E-6</c:v>
                </c:pt>
                <c:pt idx="66">
                  <c:v>7.86291754153155E-6</c:v>
                </c:pt>
                <c:pt idx="67">
                  <c:v>7.90523457175631E-6</c:v>
                </c:pt>
                <c:pt idx="68">
                  <c:v>7.94671386239643E-6</c:v>
                </c:pt>
                <c:pt idx="69">
                  <c:v>7.98737161577451E-6</c:v>
                </c:pt>
                <c:pt idx="70">
                  <c:v>8.02722428846715E-6</c:v>
                </c:pt>
                <c:pt idx="71">
                  <c:v>8.06628782614946E-6</c:v>
                </c:pt>
                <c:pt idx="72">
                  <c:v>8.10457785851699E-6</c:v>
                </c:pt>
                <c:pt idx="73">
                  <c:v>8.14210987276176E-6</c:v>
                </c:pt>
                <c:pt idx="74">
                  <c:v>8.17889852935153E-6</c:v>
                </c:pt>
                <c:pt idx="75">
                  <c:v>8.21495871881256E-6</c:v>
                </c:pt>
                <c:pt idx="76">
                  <c:v>8.25030486938838E-6</c:v>
                </c:pt>
                <c:pt idx="77">
                  <c:v>8.28495112341232E-6</c:v>
                </c:pt>
                <c:pt idx="78">
                  <c:v>8.31891149427525E-6</c:v>
                </c:pt>
                <c:pt idx="79">
                  <c:v>8.35219924731695E-6</c:v>
                </c:pt>
                <c:pt idx="80">
                  <c:v>8.38482785604276E-6</c:v>
                </c:pt>
                <c:pt idx="81">
                  <c:v>8.41681052765349E-6</c:v>
                </c:pt>
                <c:pt idx="82">
                  <c:v>8.44815960270293E-6</c:v>
                </c:pt>
                <c:pt idx="83">
                  <c:v>8.47888821699009E-6</c:v>
                </c:pt>
                <c:pt idx="84">
                  <c:v>8.50900807836934E-6</c:v>
                </c:pt>
                <c:pt idx="85">
                  <c:v>8.53853180757812E-6</c:v>
                </c:pt>
                <c:pt idx="86">
                  <c:v>8.56747092558027E-6</c:v>
                </c:pt>
                <c:pt idx="87">
                  <c:v>8.59583674170582E-6</c:v>
                </c:pt>
                <c:pt idx="88">
                  <c:v>8.62364114171723E-6</c:v>
                </c:pt>
                <c:pt idx="89">
                  <c:v>8.65089471931924E-6</c:v>
                </c:pt>
                <c:pt idx="90">
                  <c:v>8.67760889422731E-6</c:v>
                </c:pt>
                <c:pt idx="91">
                  <c:v>8.70379409104061E-6</c:v>
                </c:pt>
                <c:pt idx="92">
                  <c:v>8.72946054286414E-6</c:v>
                </c:pt>
                <c:pt idx="93">
                  <c:v>8.7546190043805E-6</c:v>
                </c:pt>
                <c:pt idx="94">
                  <c:v>8.77927906117014E-6</c:v>
                </c:pt>
                <c:pt idx="95">
                  <c:v>8.80345104621892E-6</c:v>
                </c:pt>
                <c:pt idx="96">
                  <c:v>8.82714439209423E-6</c:v>
                </c:pt>
                <c:pt idx="97">
                  <c:v>8.85036835809237E-6</c:v>
                </c:pt>
                <c:pt idx="98">
                  <c:v>8.8731326754526E-6</c:v>
                </c:pt>
                <c:pt idx="99">
                  <c:v>8.89544601756676E-6</c:v>
                </c:pt>
                <c:pt idx="100">
                  <c:v>8.9173177341071E-6</c:v>
                </c:pt>
                <c:pt idx="101">
                  <c:v>6.78034574914424E-6</c:v>
                </c:pt>
                <c:pt idx="102">
                  <c:v>6.6460857799702E-6</c:v>
                </c:pt>
                <c:pt idx="103">
                  <c:v>6.51448453221882E-6</c:v>
                </c:pt>
                <c:pt idx="104">
                  <c:v>6.38548898468717E-6</c:v>
                </c:pt>
                <c:pt idx="105">
                  <c:v>6.25904791826382E-6</c:v>
                </c:pt>
                <c:pt idx="106">
                  <c:v>6.1351105084081E-6</c:v>
                </c:pt>
                <c:pt idx="107">
                  <c:v>6.01362711805834E-6</c:v>
                </c:pt>
                <c:pt idx="108">
                  <c:v>5.89454936396807E-6</c:v>
                </c:pt>
                <c:pt idx="109">
                  <c:v>5.77782940589437E-6</c:v>
                </c:pt>
                <c:pt idx="110">
                  <c:v>5.66342075772518E-6</c:v>
                </c:pt>
                <c:pt idx="111">
                  <c:v>5.55127755692939E-6</c:v>
                </c:pt>
                <c:pt idx="112">
                  <c:v>5.44135475650145E-6</c:v>
                </c:pt>
                <c:pt idx="113">
                  <c:v>5.33360890346669E-6</c:v>
                </c:pt>
                <c:pt idx="114">
                  <c:v>5.22799623664469E-6</c:v>
                </c:pt>
                <c:pt idx="115">
                  <c:v>5.12447501567131E-6</c:v>
                </c:pt>
                <c:pt idx="116">
                  <c:v>5.02300365141296E-6</c:v>
                </c:pt>
                <c:pt idx="117">
                  <c:v>4.92354138849046E-6</c:v>
                </c:pt>
                <c:pt idx="118">
                  <c:v>4.82604890902641E-6</c:v>
                </c:pt>
                <c:pt idx="119">
                  <c:v>4.73048661626729E-6</c:v>
                </c:pt>
                <c:pt idx="120">
                  <c:v>4.63681674196981E-6</c:v>
                </c:pt>
                <c:pt idx="121">
                  <c:v>4.54500178088269E-6</c:v>
                </c:pt>
                <c:pt idx="122">
                  <c:v>4.45500447755489E-6</c:v>
                </c:pt>
                <c:pt idx="123">
                  <c:v>4.36678963415871E-6</c:v>
                </c:pt>
                <c:pt idx="124">
                  <c:v>4.28032117711055E-6</c:v>
                </c:pt>
                <c:pt idx="125">
                  <c:v>4.19556528870988E-6</c:v>
                </c:pt>
                <c:pt idx="126">
                  <c:v>4.11248767638273E-6</c:v>
                </c:pt>
                <c:pt idx="127">
                  <c:v>4.03105474880941E-6</c:v>
                </c:pt>
                <c:pt idx="128">
                  <c:v>3.95123465767836E-6</c:v>
                </c:pt>
                <c:pt idx="129">
                  <c:v>3.87299476226135E-6</c:v>
                </c:pt>
                <c:pt idx="130">
                  <c:v>3.79630446303754E-6</c:v>
                </c:pt>
                <c:pt idx="131">
                  <c:v>3.72113273080285E-6</c:v>
                </c:pt>
                <c:pt idx="132">
                  <c:v>3.6474491708743E-6</c:v>
                </c:pt>
                <c:pt idx="133">
                  <c:v>3.57522496570789E-6</c:v>
                </c:pt>
                <c:pt idx="134">
                  <c:v>3.50443058075136E-6</c:v>
                </c:pt>
                <c:pt idx="135">
                  <c:v>3.43503832841328E-6</c:v>
                </c:pt>
                <c:pt idx="136">
                  <c:v>3.36702013230875E-6</c:v>
                </c:pt>
                <c:pt idx="137">
                  <c:v>3.3003484901913E-6</c:v>
                </c:pt>
                <c:pt idx="138">
                  <c:v>3.23499732686883E-6</c:v>
                </c:pt>
                <c:pt idx="139">
                  <c:v>3.17093991837332E-6</c:v>
                </c:pt>
                <c:pt idx="140">
                  <c:v>3.10815121193603E-6</c:v>
                </c:pt>
                <c:pt idx="141">
                  <c:v>3.04660580299335E-6</c:v>
                </c:pt>
                <c:pt idx="142">
                  <c:v>2.98627897226042E-6</c:v>
                </c:pt>
                <c:pt idx="143">
                  <c:v>2.92714646610298E-6</c:v>
                </c:pt>
                <c:pt idx="144">
                  <c:v>2.86918508848807E-6</c:v>
                </c:pt>
                <c:pt idx="145">
                  <c:v>2.81237151747353E-6</c:v>
                </c:pt>
                <c:pt idx="146">
                  <c:v>2.75668292855387E-6</c:v>
                </c:pt>
                <c:pt idx="147">
                  <c:v>2.7020969547952E-6</c:v>
                </c:pt>
                <c:pt idx="148">
                  <c:v>2.64859165060171E-6</c:v>
                </c:pt>
                <c:pt idx="149">
                  <c:v>2.59614602733482E-6</c:v>
                </c:pt>
                <c:pt idx="150">
                  <c:v>2.54473898242863E-6</c:v>
                </c:pt>
                <c:pt idx="151">
                  <c:v>2.49434986341649E-6</c:v>
                </c:pt>
                <c:pt idx="152">
                  <c:v>2.44495843185972E-6</c:v>
                </c:pt>
                <c:pt idx="153">
                  <c:v>2.39654483056205E-6</c:v>
                </c:pt>
                <c:pt idx="154">
                  <c:v>2.34909006821795E-6</c:v>
                </c:pt>
                <c:pt idx="155">
                  <c:v>2.30257505043617E-6</c:v>
                </c:pt>
                <c:pt idx="156">
                  <c:v>2.25698109009213E-6</c:v>
                </c:pt>
                <c:pt idx="157">
                  <c:v>2.21228987468919E-6</c:v>
                </c:pt>
                <c:pt idx="158">
                  <c:v>2.16848343669319E-6</c:v>
                </c:pt>
                <c:pt idx="159">
                  <c:v>2.12554459206024E-6</c:v>
                </c:pt>
                <c:pt idx="160">
                  <c:v>2.08345606347069E-6</c:v>
                </c:pt>
                <c:pt idx="161">
                  <c:v>2.04220094211495E-6</c:v>
                </c:pt>
                <c:pt idx="162">
                  <c:v>2.00176272082309E-6</c:v>
                </c:pt>
                <c:pt idx="163">
                  <c:v>1.96212489248977E-6</c:v>
                </c:pt>
                <c:pt idx="164">
                  <c:v>1.92327228060009E-6</c:v>
                </c:pt>
                <c:pt idx="165">
                  <c:v>1.88518900506218E-6</c:v>
                </c:pt>
                <c:pt idx="166">
                  <c:v>1.84785982757389E-6</c:v>
                </c:pt>
                <c:pt idx="167">
                  <c:v>1.81126981183021E-6</c:v>
                </c:pt>
                <c:pt idx="168">
                  <c:v>1.77540402158453E-6</c:v>
                </c:pt>
                <c:pt idx="169">
                  <c:v>1.74024872455832E-6</c:v>
                </c:pt>
                <c:pt idx="170">
                  <c:v>1.70578955185024E-6</c:v>
                </c:pt>
                <c:pt idx="171">
                  <c:v>1.67201271527433E-6</c:v>
                </c:pt>
                <c:pt idx="172">
                  <c:v>1.63890469990292E-6</c:v>
                </c:pt>
                <c:pt idx="173">
                  <c:v>1.6064519908612E-6</c:v>
                </c:pt>
                <c:pt idx="174">
                  <c:v>1.57464216266972E-6</c:v>
                </c:pt>
                <c:pt idx="175">
                  <c:v>1.54346221380889E-6</c:v>
                </c:pt>
                <c:pt idx="176">
                  <c:v>1.51289966821212E-6</c:v>
                </c:pt>
                <c:pt idx="177">
                  <c:v>1.48294229706716E-6</c:v>
                </c:pt>
                <c:pt idx="178">
                  <c:v>1.45357787160958E-6</c:v>
                </c:pt>
                <c:pt idx="179">
                  <c:v>1.42479514880063E-6</c:v>
                </c:pt>
                <c:pt idx="180">
                  <c:v>1.3965823643789E-6</c:v>
                </c:pt>
                <c:pt idx="181">
                  <c:v>1.36892807754632E-6</c:v>
                </c:pt>
                <c:pt idx="182">
                  <c:v>1.34182167917456E-6</c:v>
                </c:pt>
                <c:pt idx="183">
                  <c:v>1.31525164826141E-6</c:v>
                </c:pt>
                <c:pt idx="184">
                  <c:v>1.28920810680614E-6</c:v>
                </c:pt>
                <c:pt idx="185">
                  <c:v>1.26367998065916E-6</c:v>
                </c:pt>
                <c:pt idx="186">
                  <c:v>1.23865734716394E-6</c:v>
                </c:pt>
                <c:pt idx="187">
                  <c:v>1.21413046364899E-6</c:v>
                </c:pt>
                <c:pt idx="188">
                  <c:v>1.1900889054804E-6</c:v>
                </c:pt>
                <c:pt idx="189">
                  <c:v>1.16652373467349E-6</c:v>
                </c:pt>
                <c:pt idx="190">
                  <c:v>1.14342493092337E-6</c:v>
                </c:pt>
                <c:pt idx="191">
                  <c:v>1.12078351583909E-6</c:v>
                </c:pt>
                <c:pt idx="192">
                  <c:v>1.09859067388695E-6</c:v>
                </c:pt>
                <c:pt idx="193">
                  <c:v>1.07683697246813E-6</c:v>
                </c:pt>
                <c:pt idx="194">
                  <c:v>1.05551432415963E-6</c:v>
                </c:pt>
                <c:pt idx="195">
                  <c:v>1.03461366221464E-6</c:v>
                </c:pt>
                <c:pt idx="196">
                  <c:v>1.01412686264911E-6</c:v>
                </c:pt>
                <c:pt idx="197">
                  <c:v>9.94045948838254E-7</c:v>
                </c:pt>
                <c:pt idx="198">
                  <c:v>9.7436238581372E-7</c:v>
                </c:pt>
                <c:pt idx="199">
                  <c:v>9.5506885577257E-7</c:v>
                </c:pt>
                <c:pt idx="200">
                  <c:v>9.36157154783028E-7</c:v>
                </c:pt>
                <c:pt idx="201">
                  <c:v>9.17619927715354E-7</c:v>
                </c:pt>
                <c:pt idx="202">
                  <c:v>8.99449971836371E-7</c:v>
                </c:pt>
                <c:pt idx="203">
                  <c:v>8.8163954337178E-7</c:v>
                </c:pt>
                <c:pt idx="204">
                  <c:v>8.64182041501578E-7</c:v>
                </c:pt>
                <c:pt idx="205">
                  <c:v>8.47070022809766E-7</c:v>
                </c:pt>
                <c:pt idx="206">
                  <c:v>8.30296846132304E-7</c:v>
                </c:pt>
                <c:pt idx="207">
                  <c:v>8.13855990168939E-7</c:v>
                </c:pt>
                <c:pt idx="208">
                  <c:v>7.97740448062924E-7</c:v>
                </c:pt>
                <c:pt idx="209">
                  <c:v>7.81944247145332E-7</c:v>
                </c:pt>
                <c:pt idx="210">
                  <c:v>7.66460652334849E-7</c:v>
                </c:pt>
                <c:pt idx="211">
                  <c:v>7.51283654457754E-7</c:v>
                </c:pt>
                <c:pt idx="212">
                  <c:v>7.36407352797562E-7</c:v>
                </c:pt>
                <c:pt idx="213">
                  <c:v>7.21825407288105E-7</c:v>
                </c:pt>
                <c:pt idx="214">
                  <c:v>7.07532413635055E-7</c:v>
                </c:pt>
                <c:pt idx="215">
                  <c:v>6.93522277684823E-7</c:v>
                </c:pt>
                <c:pt idx="216">
                  <c:v>6.79789562112175E-7</c:v>
                </c:pt>
                <c:pt idx="217">
                  <c:v>6.6632892772804E-7</c:v>
                </c:pt>
                <c:pt idx="218">
                  <c:v>6.53134637803324E-7</c:v>
                </c:pt>
                <c:pt idx="219">
                  <c:v>6.40201802330292E-7</c:v>
                </c:pt>
                <c:pt idx="220">
                  <c:v>6.2752490709075E-7</c:v>
                </c:pt>
                <c:pt idx="221">
                  <c:v>6.15099032189375E-7</c:v>
                </c:pt>
                <c:pt idx="222">
                  <c:v>6.02919346528112E-7</c:v>
                </c:pt>
                <c:pt idx="223">
                  <c:v>5.90980659299812E-7</c:v>
                </c:pt>
                <c:pt idx="224">
                  <c:v>5.7927854584251E-7</c:v>
                </c:pt>
                <c:pt idx="225">
                  <c:v>5.67808016685253E-7</c:v>
                </c:pt>
                <c:pt idx="226">
                  <c:v>5.56564620122652E-7</c:v>
                </c:pt>
                <c:pt idx="227">
                  <c:v>5.45543984796423E-7</c:v>
                </c:pt>
                <c:pt idx="228">
                  <c:v>5.34741413870031E-7</c:v>
                </c:pt>
                <c:pt idx="229">
                  <c:v>5.24152903743761E-7</c:v>
                </c:pt>
                <c:pt idx="230">
                  <c:v>5.13773939757603E-7</c:v>
                </c:pt>
                <c:pt idx="231">
                  <c:v>5.03600493841944E-7</c:v>
                </c:pt>
                <c:pt idx="232">
                  <c:v>4.93628610628243E-7</c:v>
                </c:pt>
                <c:pt idx="233">
                  <c:v>4.83854040243057E-7</c:v>
                </c:pt>
                <c:pt idx="234">
                  <c:v>4.74273160079557E-7</c:v>
                </c:pt>
                <c:pt idx="235">
                  <c:v>4.64881885104431E-7</c:v>
                </c:pt>
                <c:pt idx="236">
                  <c:v>4.5567657056958E-7</c:v>
                </c:pt>
                <c:pt idx="237">
                  <c:v>4.46653637509539E-7</c:v>
                </c:pt>
                <c:pt idx="238">
                  <c:v>4.37809240479795E-7</c:v>
                </c:pt>
                <c:pt idx="239">
                  <c:v>4.2914010161014E-7</c:v>
                </c:pt>
                <c:pt idx="240">
                  <c:v>4.20642524609582E-7</c:v>
                </c:pt>
                <c:pt idx="241">
                  <c:v>4.1231321157366E-7</c:v>
                </c:pt>
                <c:pt idx="242">
                  <c:v>4.04148924120501E-7</c:v>
                </c:pt>
                <c:pt idx="243">
                  <c:v>3.96146182748021E-7</c:v>
                </c:pt>
                <c:pt idx="244">
                  <c:v>3.88302021516608E-7</c:v>
                </c:pt>
                <c:pt idx="245">
                  <c:v>3.80613095883862E-7</c:v>
                </c:pt>
                <c:pt idx="246">
                  <c:v>3.73076421782424E-7</c:v>
                </c:pt>
                <c:pt idx="247">
                  <c:v>3.65689069003204E-7</c:v>
                </c:pt>
                <c:pt idx="248">
                  <c:v>3.58447889162521E-7</c:v>
                </c:pt>
                <c:pt idx="249">
                  <c:v>3.51350198567231E-7</c:v>
                </c:pt>
                <c:pt idx="250">
                  <c:v>3.44392970950228E-7</c:v>
                </c:pt>
                <c:pt idx="251">
                  <c:v>3.37573506215703E-7</c:v>
                </c:pt>
                <c:pt idx="252">
                  <c:v>3.30889153000834E-7</c:v>
                </c:pt>
                <c:pt idx="253">
                  <c:v>3.24337062530257E-7</c:v>
                </c:pt>
                <c:pt idx="254">
                  <c:v>3.17914806497997E-7</c:v>
                </c:pt>
                <c:pt idx="255">
                  <c:v>3.11619646624336E-7</c:v>
                </c:pt>
                <c:pt idx="256">
                  <c:v>3.05449139761564E-7</c:v>
                </c:pt>
                <c:pt idx="257">
                  <c:v>2.99400886857379E-7</c:v>
                </c:pt>
                <c:pt idx="258">
                  <c:v>2.93472310233244E-7</c:v>
                </c:pt>
                <c:pt idx="259">
                  <c:v>2.8766121266705E-7</c:v>
                </c:pt>
                <c:pt idx="260">
                  <c:v>2.81965116460843E-7</c:v>
                </c:pt>
                <c:pt idx="261">
                  <c:v>2.76381810963158E-7</c:v>
                </c:pt>
                <c:pt idx="262">
                  <c:v>2.7090906275948E-7</c:v>
                </c:pt>
                <c:pt idx="263">
                  <c:v>2.65544788877937E-7</c:v>
                </c:pt>
                <c:pt idx="264">
                  <c:v>2.60286628938746E-7</c:v>
                </c:pt>
                <c:pt idx="265">
                  <c:v>2.55132587954638E-7</c:v>
                </c:pt>
                <c:pt idx="266">
                  <c:v>2.50080604224005E-7</c:v>
                </c:pt>
                <c:pt idx="267">
                  <c:v>2.45128656869829E-7</c:v>
                </c:pt>
                <c:pt idx="268">
                  <c:v>2.40274861141217E-7</c:v>
                </c:pt>
                <c:pt idx="269">
                  <c:v>2.35517081278217E-7</c:v>
                </c:pt>
                <c:pt idx="270">
                  <c:v>2.30853512141707E-7</c:v>
                </c:pt>
                <c:pt idx="271">
                  <c:v>2.26282288226922E-7</c:v>
                </c:pt>
                <c:pt idx="272">
                  <c:v>2.21801580968719E-7</c:v>
                </c:pt>
                <c:pt idx="273">
                  <c:v>2.17409684973969E-7</c:v>
                </c:pt>
                <c:pt idx="274">
                  <c:v>2.13104667727149E-7</c:v>
                </c:pt>
                <c:pt idx="275">
                  <c:v>2.08884895870834E-7</c:v>
                </c:pt>
                <c:pt idx="276">
                  <c:v>2.04748681426516E-7</c:v>
                </c:pt>
                <c:pt idx="277">
                  <c:v>2.00694369840029E-7</c:v>
                </c:pt>
                <c:pt idx="278">
                  <c:v>1.96720418007857E-7</c:v>
                </c:pt>
                <c:pt idx="279">
                  <c:v>1.92825077317644E-7</c:v>
                </c:pt>
                <c:pt idx="280">
                  <c:v>1.89006869846476E-7</c:v>
                </c:pt>
                <c:pt idx="281">
                  <c:v>1.85264268248237E-7</c:v>
                </c:pt>
                <c:pt idx="282">
                  <c:v>1.81595775420406E-7</c:v>
                </c:pt>
                <c:pt idx="283">
                  <c:v>1.77999995105185E-7</c:v>
                </c:pt>
                <c:pt idx="284">
                  <c:v>1.74475345092681E-7</c:v>
                </c:pt>
                <c:pt idx="285">
                  <c:v>1.71020488102944E-7</c:v>
                </c:pt>
                <c:pt idx="286">
                  <c:v>1.67634042136057E-7</c:v>
                </c:pt>
                <c:pt idx="287">
                  <c:v>1.64314652557638E-7</c:v>
                </c:pt>
                <c:pt idx="288">
                  <c:v>1.61061055981389E-7</c:v>
                </c:pt>
                <c:pt idx="289">
                  <c:v>1.57871820764595E-7</c:v>
                </c:pt>
                <c:pt idx="290">
                  <c:v>1.54745736886318E-7</c:v>
                </c:pt>
                <c:pt idx="291">
                  <c:v>1.51681553861319E-7</c:v>
                </c:pt>
                <c:pt idx="292">
                  <c:v>1.48678045965729E-7</c:v>
                </c:pt>
                <c:pt idx="293">
                  <c:v>1.45734070040344E-7</c:v>
                </c:pt>
                <c:pt idx="294">
                  <c:v>1.42848330681271E-7</c:v>
                </c:pt>
                <c:pt idx="295">
                  <c:v>1.40019733016287E-7</c:v>
                </c:pt>
                <c:pt idx="296">
                  <c:v>1.3724714555956E-7</c:v>
                </c:pt>
                <c:pt idx="297">
                  <c:v>1.34529459230262E-7</c:v>
                </c:pt>
                <c:pt idx="298">
                  <c:v>1.31865639655176E-7</c:v>
                </c:pt>
                <c:pt idx="299">
                  <c:v>1.2925451470439E-7</c:v>
                </c:pt>
                <c:pt idx="300">
                  <c:v>1.26695093696543E-7</c:v>
                </c:pt>
                <c:pt idx="301">
                  <c:v>1.24186352820918E-7</c:v>
                </c:pt>
                <c:pt idx="302">
                  <c:v>1.21727288539684E-7</c:v>
                </c:pt>
                <c:pt idx="303">
                  <c:v>1.19316964913248E-7</c:v>
                </c:pt>
                <c:pt idx="304">
                  <c:v>1.1695432135461E-7</c:v>
                </c:pt>
                <c:pt idx="305">
                  <c:v>1.14638461458203E-7</c:v>
                </c:pt>
                <c:pt idx="306">
                  <c:v>1.12368458841781E-7</c:v>
                </c:pt>
                <c:pt idx="307">
                  <c:v>1.10143405466766E-7</c:v>
                </c:pt>
                <c:pt idx="308">
                  <c:v>1.07962454459992E-7</c:v>
                </c:pt>
                <c:pt idx="309">
                  <c:v>1.05824646162654E-7</c:v>
                </c:pt>
                <c:pt idx="310">
                  <c:v>1.03729169473456E-7</c:v>
                </c:pt>
                <c:pt idx="311">
                  <c:v>1.01675186167079E-7</c:v>
                </c:pt>
                <c:pt idx="312">
                  <c:v>9.96618746162364E-8</c:v>
                </c:pt>
                <c:pt idx="313">
                  <c:v>9.76884685384038E-8</c:v>
                </c:pt>
                <c:pt idx="314">
                  <c:v>9.57540995983835E-8</c:v>
                </c:pt>
                <c:pt idx="315">
                  <c:v>9.38580338813748E-8</c:v>
                </c:pt>
                <c:pt idx="316">
                  <c:v>9.19995129297432E-8</c:v>
                </c:pt>
                <c:pt idx="317">
                  <c:v>9.01777933043785E-8</c:v>
                </c:pt>
                <c:pt idx="318">
                  <c:v>8.8392181644178E-8</c:v>
                </c:pt>
                <c:pt idx="319">
                  <c:v>8.66418922469601E-8</c:v>
                </c:pt>
                <c:pt idx="320">
                  <c:v>8.49262610391567E-8</c:v>
                </c:pt>
                <c:pt idx="321">
                  <c:v>8.32445967887993E-8</c:v>
                </c:pt>
                <c:pt idx="322">
                  <c:v>8.15962416577139E-8</c:v>
                </c:pt>
                <c:pt idx="323">
                  <c:v>7.99805534134818E-8</c:v>
                </c:pt>
                <c:pt idx="324">
                  <c:v>7.83968307372732E-8</c:v>
                </c:pt>
                <c:pt idx="325">
                  <c:v>7.6844458762117E-8</c:v>
                </c:pt>
                <c:pt idx="326">
                  <c:v>7.53228260238223E-8</c:v>
                </c:pt>
                <c:pt idx="327">
                  <c:v>7.38313326230052E-8</c:v>
                </c:pt>
                <c:pt idx="328">
                  <c:v>7.23693974437421E-8</c:v>
                </c:pt>
                <c:pt idx="329">
                  <c:v>7.09363859065164E-8</c:v>
                </c:pt>
                <c:pt idx="330">
                  <c:v>6.95317416566849E-8</c:v>
                </c:pt>
                <c:pt idx="331">
                  <c:v>6.81549114185673E-8</c:v>
                </c:pt>
                <c:pt idx="332">
                  <c:v>6.68053523807539E-8</c:v>
                </c:pt>
                <c:pt idx="333">
                  <c:v>6.54825387278152E-8</c:v>
                </c:pt>
                <c:pt idx="334">
                  <c:v>6.41858962684542E-8</c:v>
                </c:pt>
                <c:pt idx="335">
                  <c:v>6.29149215921794E-8</c:v>
                </c:pt>
                <c:pt idx="336">
                  <c:v>6.1669114074445E-8</c:v>
                </c:pt>
                <c:pt idx="337">
                  <c:v>6.0447982559185E-8</c:v>
                </c:pt>
                <c:pt idx="338">
                  <c:v>5.92510512689143E-8</c:v>
                </c:pt>
                <c:pt idx="339">
                  <c:v>5.80778006538724E-8</c:v>
                </c:pt>
                <c:pt idx="340">
                  <c:v>5.69277752094017E-8</c:v>
                </c:pt>
                <c:pt idx="341">
                  <c:v>5.58005219516873E-8</c:v>
                </c:pt>
                <c:pt idx="342">
                  <c:v>5.46955964643343E-8</c:v>
                </c:pt>
                <c:pt idx="343">
                  <c:v>5.36125682460813E-8</c:v>
                </c:pt>
                <c:pt idx="344">
                  <c:v>5.25509671888585E-8</c:v>
                </c:pt>
                <c:pt idx="345">
                  <c:v>5.15103811350074E-8</c:v>
                </c:pt>
                <c:pt idx="346">
                  <c:v>5.04904002078243E-8</c:v>
                </c:pt>
                <c:pt idx="347">
                  <c:v>4.94906222827254E-8</c:v>
                </c:pt>
                <c:pt idx="348">
                  <c:v>4.85106578260617E-8</c:v>
                </c:pt>
                <c:pt idx="349">
                  <c:v>4.75500814664575E-8</c:v>
                </c:pt>
                <c:pt idx="350">
                  <c:v>4.6608520268247E-8</c:v>
                </c:pt>
                <c:pt idx="351">
                  <c:v>4.56856033596483E-8</c:v>
                </c:pt>
                <c:pt idx="352">
                  <c:v>4.47809668832933E-8</c:v>
                </c:pt>
                <c:pt idx="353">
                  <c:v>4.38942583745595E-8</c:v>
                </c:pt>
                <c:pt idx="354">
                  <c:v>4.30250929415095E-8</c:v>
                </c:pt>
                <c:pt idx="355">
                  <c:v>4.21731331379978E-8</c:v>
                </c:pt>
                <c:pt idx="356">
                  <c:v>4.13380433853593E-8</c:v>
                </c:pt>
                <c:pt idx="357">
                  <c:v>4.0519494451835E-8</c:v>
                </c:pt>
                <c:pt idx="358">
                  <c:v>3.97171674142397E-8</c:v>
                </c:pt>
                <c:pt idx="359">
                  <c:v>3.89307140079536E-8</c:v>
                </c:pt>
                <c:pt idx="360">
                  <c:v>3.81598288990732E-8</c:v>
                </c:pt>
                <c:pt idx="361">
                  <c:v>3.74042084434665E-8</c:v>
                </c:pt>
                <c:pt idx="362">
                  <c:v>3.66635547399186E-8</c:v>
                </c:pt>
                <c:pt idx="363">
                  <c:v>3.59375792148025E-8</c:v>
                </c:pt>
                <c:pt idx="364">
                  <c:v>3.52259667452514E-8</c:v>
                </c:pt>
                <c:pt idx="365">
                  <c:v>3.45284410537311E-8</c:v>
                </c:pt>
                <c:pt idx="366">
                  <c:v>3.38447273916661E-8</c:v>
                </c:pt>
                <c:pt idx="367">
                  <c:v>3.3174556206889E-8</c:v>
                </c:pt>
                <c:pt idx="368">
                  <c:v>3.25176663871843E-8</c:v>
                </c:pt>
                <c:pt idx="369">
                  <c:v>3.18737727975957E-8</c:v>
                </c:pt>
                <c:pt idx="370">
                  <c:v>3.12426254518647E-8</c:v>
                </c:pt>
                <c:pt idx="371">
                  <c:v>3.06239757472072E-8</c:v>
                </c:pt>
                <c:pt idx="372">
                  <c:v>3.00175797827288E-8</c:v>
                </c:pt>
                <c:pt idx="373">
                  <c:v>2.94232012943336E-8</c:v>
                </c:pt>
                <c:pt idx="374">
                  <c:v>2.88405822812409E-8</c:v>
                </c:pt>
                <c:pt idx="375">
                  <c:v>2.82694965465307E-8</c:v>
                </c:pt>
                <c:pt idx="376">
                  <c:v>2.77097191450984E-8</c:v>
                </c:pt>
                <c:pt idx="377">
                  <c:v>2.71610293862939E-8</c:v>
                </c:pt>
                <c:pt idx="378">
                  <c:v>2.66232134895165E-8</c:v>
                </c:pt>
                <c:pt idx="379">
                  <c:v>2.60960380060113E-8</c:v>
                </c:pt>
                <c:pt idx="380">
                  <c:v>2.5579298264339E-8</c:v>
                </c:pt>
                <c:pt idx="381">
                  <c:v>2.5072790725752E-8</c:v>
                </c:pt>
                <c:pt idx="382">
                  <c:v>2.45763157010929E-8</c:v>
                </c:pt>
                <c:pt idx="383">
                  <c:v>2.40896797536745E-8</c:v>
                </c:pt>
                <c:pt idx="384">
                  <c:v>2.36126716503273E-8</c:v>
                </c:pt>
                <c:pt idx="385">
                  <c:v>2.31451061966757E-8</c:v>
                </c:pt>
                <c:pt idx="386">
                  <c:v>2.26867992232456E-8</c:v>
                </c:pt>
                <c:pt idx="387">
                  <c:v>2.22375700438146E-8</c:v>
                </c:pt>
                <c:pt idx="388">
                  <c:v>2.17972436296273E-8</c:v>
                </c:pt>
                <c:pt idx="389">
                  <c:v>2.13656288490139E-8</c:v>
                </c:pt>
                <c:pt idx="390">
                  <c:v>2.09425581311695E-8</c:v>
                </c:pt>
                <c:pt idx="391">
                  <c:v>2.05278648326617E-8</c:v>
                </c:pt>
                <c:pt idx="392">
                  <c:v>2.01213854618388E-8</c:v>
                </c:pt>
                <c:pt idx="393">
                  <c:v>1.97229616461351E-8</c:v>
                </c:pt>
                <c:pt idx="394">
                  <c:v>1.93324204424564E-8</c:v>
                </c:pt>
                <c:pt idx="395">
                  <c:v>1.89496102264755E-8</c:v>
                </c:pt>
                <c:pt idx="396">
                  <c:v>1.85743802129754E-8</c:v>
                </c:pt>
                <c:pt idx="397">
                  <c:v>1.82065824685969E-8</c:v>
                </c:pt>
                <c:pt idx="398">
                  <c:v>1.78460736919114E-8</c:v>
                </c:pt>
                <c:pt idx="399">
                  <c:v>1.74926973975358E-8</c:v>
                </c:pt>
                <c:pt idx="400">
                  <c:v>1.71463163901104E-8</c:v>
                </c:pt>
              </c:numCache>
            </c:numRef>
          </c:yVal>
          <c:smooth val="0"/>
        </c:ser>
        <c:ser>
          <c:idx val="1"/>
          <c:order val="1"/>
          <c:tx>
            <c:v>FEM (dt = 0.05s)</c:v>
          </c:tx>
          <c:spPr>
            <a:ln w="25400"/>
          </c:spPr>
          <c:marker>
            <c:symbol val="none"/>
          </c:marker>
          <c:xVal>
            <c:numRef>
              <c:f>Sheet1!$D$21:$D$520</c:f>
              <c:numCache>
                <c:formatCode>0.00</c:formatCode>
                <c:ptCount val="500"/>
                <c:pt idx="0">
                  <c:v>0.0</c:v>
                </c:pt>
                <c:pt idx="1">
                  <c:v>0.100000001</c:v>
                </c:pt>
                <c:pt idx="2">
                  <c:v>0.200000003</c:v>
                </c:pt>
                <c:pt idx="3">
                  <c:v>0.300000012</c:v>
                </c:pt>
                <c:pt idx="4">
                  <c:v>0.400000006</c:v>
                </c:pt>
                <c:pt idx="5">
                  <c:v>0.5</c:v>
                </c:pt>
                <c:pt idx="6">
                  <c:v>0.600000024</c:v>
                </c:pt>
                <c:pt idx="7">
                  <c:v>0.699999988</c:v>
                </c:pt>
                <c:pt idx="8">
                  <c:v>0.800000012</c:v>
                </c:pt>
                <c:pt idx="9">
                  <c:v>0.899999976</c:v>
                </c:pt>
                <c:pt idx="10">
                  <c:v>1.0</c:v>
                </c:pt>
                <c:pt idx="11">
                  <c:v>1.10000002</c:v>
                </c:pt>
                <c:pt idx="12">
                  <c:v>1.20000005</c:v>
                </c:pt>
                <c:pt idx="13">
                  <c:v>1.29999995</c:v>
                </c:pt>
                <c:pt idx="14">
                  <c:v>1.39999998</c:v>
                </c:pt>
                <c:pt idx="15">
                  <c:v>1.5</c:v>
                </c:pt>
                <c:pt idx="16">
                  <c:v>1.60000002</c:v>
                </c:pt>
                <c:pt idx="17">
                  <c:v>1.70000005</c:v>
                </c:pt>
                <c:pt idx="18">
                  <c:v>1.79999995</c:v>
                </c:pt>
                <c:pt idx="19">
                  <c:v>1.89999998</c:v>
                </c:pt>
                <c:pt idx="20">
                  <c:v>2.0</c:v>
                </c:pt>
                <c:pt idx="21">
                  <c:v>2.0999999</c:v>
                </c:pt>
                <c:pt idx="22">
                  <c:v>2.20000005</c:v>
                </c:pt>
                <c:pt idx="23">
                  <c:v>2.29999995</c:v>
                </c:pt>
                <c:pt idx="24">
                  <c:v>2.4000001</c:v>
                </c:pt>
                <c:pt idx="25">
                  <c:v>2.5</c:v>
                </c:pt>
                <c:pt idx="26">
                  <c:v>2.5999999</c:v>
                </c:pt>
                <c:pt idx="27">
                  <c:v>2.70000005</c:v>
                </c:pt>
                <c:pt idx="28">
                  <c:v>2.79999995</c:v>
                </c:pt>
                <c:pt idx="29">
                  <c:v>2.9000001</c:v>
                </c:pt>
                <c:pt idx="30">
                  <c:v>3.0</c:v>
                </c:pt>
                <c:pt idx="31">
                  <c:v>3.0999999</c:v>
                </c:pt>
                <c:pt idx="32">
                  <c:v>3.20000005</c:v>
                </c:pt>
                <c:pt idx="33">
                  <c:v>3.29999995</c:v>
                </c:pt>
                <c:pt idx="34">
                  <c:v>3.4000001</c:v>
                </c:pt>
                <c:pt idx="35">
                  <c:v>3.5</c:v>
                </c:pt>
                <c:pt idx="36">
                  <c:v>3.5999999</c:v>
                </c:pt>
                <c:pt idx="37">
                  <c:v>3.70000005</c:v>
                </c:pt>
                <c:pt idx="38">
                  <c:v>3.79999995</c:v>
                </c:pt>
                <c:pt idx="39">
                  <c:v>3.9000001</c:v>
                </c:pt>
                <c:pt idx="40">
                  <c:v>4.0</c:v>
                </c:pt>
                <c:pt idx="41">
                  <c:v>4.0999999</c:v>
                </c:pt>
                <c:pt idx="42">
                  <c:v>4.19999981</c:v>
                </c:pt>
                <c:pt idx="43">
                  <c:v>4.30000019</c:v>
                </c:pt>
                <c:pt idx="44">
                  <c:v>4.4000001</c:v>
                </c:pt>
                <c:pt idx="45">
                  <c:v>4.5</c:v>
                </c:pt>
                <c:pt idx="46">
                  <c:v>4.5999999</c:v>
                </c:pt>
                <c:pt idx="47">
                  <c:v>4.699999809999999</c:v>
                </c:pt>
                <c:pt idx="48">
                  <c:v>4.80000019</c:v>
                </c:pt>
                <c:pt idx="49">
                  <c:v>4.9000001</c:v>
                </c:pt>
                <c:pt idx="50">
                  <c:v>5.0</c:v>
                </c:pt>
                <c:pt idx="51">
                  <c:v>5.0999999</c:v>
                </c:pt>
                <c:pt idx="52">
                  <c:v>5.19999981</c:v>
                </c:pt>
                <c:pt idx="53">
                  <c:v>5.30000019</c:v>
                </c:pt>
                <c:pt idx="54">
                  <c:v>5.4000001</c:v>
                </c:pt>
                <c:pt idx="55">
                  <c:v>5.5</c:v>
                </c:pt>
                <c:pt idx="56">
                  <c:v>5.5999999</c:v>
                </c:pt>
                <c:pt idx="57">
                  <c:v>5.699999809999999</c:v>
                </c:pt>
                <c:pt idx="58">
                  <c:v>5.80000019</c:v>
                </c:pt>
                <c:pt idx="59">
                  <c:v>5.9000001</c:v>
                </c:pt>
                <c:pt idx="60">
                  <c:v>6.0</c:v>
                </c:pt>
                <c:pt idx="61">
                  <c:v>6.0999999</c:v>
                </c:pt>
                <c:pt idx="62">
                  <c:v>6.19999981</c:v>
                </c:pt>
                <c:pt idx="63">
                  <c:v>6.30000019</c:v>
                </c:pt>
                <c:pt idx="64">
                  <c:v>6.4000001</c:v>
                </c:pt>
                <c:pt idx="65">
                  <c:v>6.5</c:v>
                </c:pt>
                <c:pt idx="66">
                  <c:v>6.5999999</c:v>
                </c:pt>
                <c:pt idx="67">
                  <c:v>6.699999809999999</c:v>
                </c:pt>
                <c:pt idx="68">
                  <c:v>6.80000019</c:v>
                </c:pt>
                <c:pt idx="69">
                  <c:v>6.9000001</c:v>
                </c:pt>
                <c:pt idx="70">
                  <c:v>7.0</c:v>
                </c:pt>
                <c:pt idx="71">
                  <c:v>7.0999999</c:v>
                </c:pt>
                <c:pt idx="72">
                  <c:v>7.19999981</c:v>
                </c:pt>
                <c:pt idx="73">
                  <c:v>7.30000019</c:v>
                </c:pt>
                <c:pt idx="74">
                  <c:v>7.4000001</c:v>
                </c:pt>
                <c:pt idx="75">
                  <c:v>7.5</c:v>
                </c:pt>
                <c:pt idx="76">
                  <c:v>7.5999999</c:v>
                </c:pt>
                <c:pt idx="77">
                  <c:v>7.699999809999999</c:v>
                </c:pt>
                <c:pt idx="78">
                  <c:v>7.80000019</c:v>
                </c:pt>
                <c:pt idx="79">
                  <c:v>7.9000001</c:v>
                </c:pt>
                <c:pt idx="80">
                  <c:v>8.0</c:v>
                </c:pt>
                <c:pt idx="81">
                  <c:v>8.100000380000001</c:v>
                </c:pt>
                <c:pt idx="82">
                  <c:v>8.19999981</c:v>
                </c:pt>
                <c:pt idx="83">
                  <c:v>8.30000019</c:v>
                </c:pt>
                <c:pt idx="84">
                  <c:v>8.39999962</c:v>
                </c:pt>
                <c:pt idx="85">
                  <c:v>8.5</c:v>
                </c:pt>
                <c:pt idx="86">
                  <c:v>8.600000380000001</c:v>
                </c:pt>
                <c:pt idx="87">
                  <c:v>8.69999981</c:v>
                </c:pt>
                <c:pt idx="88">
                  <c:v>8.80000019</c:v>
                </c:pt>
                <c:pt idx="89">
                  <c:v>8.89999962</c:v>
                </c:pt>
                <c:pt idx="90">
                  <c:v>9.0</c:v>
                </c:pt>
                <c:pt idx="91">
                  <c:v>9.100000380000001</c:v>
                </c:pt>
                <c:pt idx="92">
                  <c:v>9.19999981</c:v>
                </c:pt>
                <c:pt idx="93">
                  <c:v>9.30000019</c:v>
                </c:pt>
                <c:pt idx="94">
                  <c:v>9.39999962</c:v>
                </c:pt>
                <c:pt idx="95">
                  <c:v>9.5</c:v>
                </c:pt>
                <c:pt idx="96">
                  <c:v>9.600000380000001</c:v>
                </c:pt>
                <c:pt idx="97">
                  <c:v>9.69999981</c:v>
                </c:pt>
                <c:pt idx="98">
                  <c:v>9.80000019</c:v>
                </c:pt>
                <c:pt idx="99">
                  <c:v>9.89999962</c:v>
                </c:pt>
                <c:pt idx="100">
                  <c:v>10.0</c:v>
                </c:pt>
                <c:pt idx="101">
                  <c:v>10.1000004</c:v>
                </c:pt>
                <c:pt idx="102">
                  <c:v>10.1999998</c:v>
                </c:pt>
                <c:pt idx="103">
                  <c:v>10.3000002</c:v>
                </c:pt>
                <c:pt idx="104">
                  <c:v>10.3999996</c:v>
                </c:pt>
                <c:pt idx="105">
                  <c:v>10.5</c:v>
                </c:pt>
                <c:pt idx="106">
                  <c:v>10.6000004</c:v>
                </c:pt>
                <c:pt idx="107">
                  <c:v>10.6999998</c:v>
                </c:pt>
                <c:pt idx="108">
                  <c:v>10.8000002</c:v>
                </c:pt>
                <c:pt idx="109">
                  <c:v>10.8999996</c:v>
                </c:pt>
                <c:pt idx="110">
                  <c:v>11.0</c:v>
                </c:pt>
                <c:pt idx="111">
                  <c:v>11.1000004</c:v>
                </c:pt>
                <c:pt idx="112">
                  <c:v>11.1999998</c:v>
                </c:pt>
                <c:pt idx="113">
                  <c:v>11.3000002</c:v>
                </c:pt>
                <c:pt idx="114">
                  <c:v>11.3999996</c:v>
                </c:pt>
                <c:pt idx="115">
                  <c:v>11.5</c:v>
                </c:pt>
                <c:pt idx="116">
                  <c:v>11.6000004</c:v>
                </c:pt>
                <c:pt idx="117">
                  <c:v>11.6999998</c:v>
                </c:pt>
                <c:pt idx="118">
                  <c:v>11.8000002</c:v>
                </c:pt>
                <c:pt idx="119">
                  <c:v>11.8999996</c:v>
                </c:pt>
                <c:pt idx="120">
                  <c:v>12.0</c:v>
                </c:pt>
                <c:pt idx="121">
                  <c:v>12.1000004</c:v>
                </c:pt>
                <c:pt idx="122">
                  <c:v>12.1999998</c:v>
                </c:pt>
                <c:pt idx="123">
                  <c:v>12.3000002</c:v>
                </c:pt>
                <c:pt idx="124">
                  <c:v>12.3999996</c:v>
                </c:pt>
                <c:pt idx="125">
                  <c:v>12.5</c:v>
                </c:pt>
                <c:pt idx="126">
                  <c:v>12.6000004</c:v>
                </c:pt>
                <c:pt idx="127">
                  <c:v>12.6999998</c:v>
                </c:pt>
                <c:pt idx="128">
                  <c:v>12.8000002</c:v>
                </c:pt>
                <c:pt idx="129">
                  <c:v>12.8999996</c:v>
                </c:pt>
                <c:pt idx="130">
                  <c:v>13.0</c:v>
                </c:pt>
                <c:pt idx="131">
                  <c:v>13.1000004</c:v>
                </c:pt>
                <c:pt idx="132">
                  <c:v>13.1999998</c:v>
                </c:pt>
                <c:pt idx="133">
                  <c:v>13.3000002</c:v>
                </c:pt>
                <c:pt idx="134">
                  <c:v>13.3999996</c:v>
                </c:pt>
                <c:pt idx="135">
                  <c:v>13.5</c:v>
                </c:pt>
                <c:pt idx="136">
                  <c:v>13.6000004</c:v>
                </c:pt>
                <c:pt idx="137">
                  <c:v>13.6999998</c:v>
                </c:pt>
                <c:pt idx="138">
                  <c:v>13.8000002</c:v>
                </c:pt>
                <c:pt idx="139">
                  <c:v>13.8999996</c:v>
                </c:pt>
                <c:pt idx="140">
                  <c:v>14.0</c:v>
                </c:pt>
                <c:pt idx="141">
                  <c:v>14.1000004</c:v>
                </c:pt>
                <c:pt idx="142">
                  <c:v>14.1999998</c:v>
                </c:pt>
                <c:pt idx="143">
                  <c:v>14.3000002</c:v>
                </c:pt>
                <c:pt idx="144">
                  <c:v>14.3999996</c:v>
                </c:pt>
                <c:pt idx="145">
                  <c:v>14.5</c:v>
                </c:pt>
                <c:pt idx="146">
                  <c:v>14.6000004</c:v>
                </c:pt>
                <c:pt idx="147">
                  <c:v>14.6999998</c:v>
                </c:pt>
                <c:pt idx="148">
                  <c:v>14.8000002</c:v>
                </c:pt>
                <c:pt idx="149">
                  <c:v>14.8999996</c:v>
                </c:pt>
                <c:pt idx="150">
                  <c:v>15.0</c:v>
                </c:pt>
                <c:pt idx="151">
                  <c:v>15.1000004</c:v>
                </c:pt>
                <c:pt idx="152">
                  <c:v>15.1999998</c:v>
                </c:pt>
                <c:pt idx="153">
                  <c:v>15.3000002</c:v>
                </c:pt>
                <c:pt idx="154">
                  <c:v>15.3999996</c:v>
                </c:pt>
                <c:pt idx="155">
                  <c:v>15.5</c:v>
                </c:pt>
                <c:pt idx="156">
                  <c:v>15.6000004</c:v>
                </c:pt>
                <c:pt idx="157">
                  <c:v>15.6999998</c:v>
                </c:pt>
                <c:pt idx="158">
                  <c:v>15.8000002</c:v>
                </c:pt>
                <c:pt idx="159">
                  <c:v>15.8999996</c:v>
                </c:pt>
                <c:pt idx="160">
                  <c:v>16.0</c:v>
                </c:pt>
                <c:pt idx="161">
                  <c:v>16.1000004</c:v>
                </c:pt>
                <c:pt idx="162">
                  <c:v>16.2000008</c:v>
                </c:pt>
                <c:pt idx="163">
                  <c:v>16.2999992</c:v>
                </c:pt>
                <c:pt idx="164">
                  <c:v>16.3999996</c:v>
                </c:pt>
                <c:pt idx="165">
                  <c:v>16.5</c:v>
                </c:pt>
                <c:pt idx="166">
                  <c:v>16.6000004</c:v>
                </c:pt>
                <c:pt idx="167">
                  <c:v>16.7000008</c:v>
                </c:pt>
                <c:pt idx="168">
                  <c:v>16.7999992</c:v>
                </c:pt>
                <c:pt idx="169">
                  <c:v>16.8999996</c:v>
                </c:pt>
                <c:pt idx="170">
                  <c:v>17.0</c:v>
                </c:pt>
                <c:pt idx="171">
                  <c:v>17.1000004</c:v>
                </c:pt>
                <c:pt idx="172">
                  <c:v>17.2000008</c:v>
                </c:pt>
                <c:pt idx="173">
                  <c:v>17.2999992</c:v>
                </c:pt>
                <c:pt idx="174">
                  <c:v>17.3999996</c:v>
                </c:pt>
                <c:pt idx="175">
                  <c:v>17.5</c:v>
                </c:pt>
                <c:pt idx="176">
                  <c:v>17.6000004</c:v>
                </c:pt>
                <c:pt idx="177">
                  <c:v>17.7000008</c:v>
                </c:pt>
                <c:pt idx="178">
                  <c:v>17.7999992</c:v>
                </c:pt>
                <c:pt idx="179">
                  <c:v>17.8999996</c:v>
                </c:pt>
                <c:pt idx="180">
                  <c:v>18.0</c:v>
                </c:pt>
                <c:pt idx="181">
                  <c:v>18.1000004</c:v>
                </c:pt>
                <c:pt idx="182">
                  <c:v>18.2000008</c:v>
                </c:pt>
                <c:pt idx="183">
                  <c:v>18.2999992</c:v>
                </c:pt>
                <c:pt idx="184">
                  <c:v>18.3999996</c:v>
                </c:pt>
                <c:pt idx="185">
                  <c:v>18.5</c:v>
                </c:pt>
                <c:pt idx="186">
                  <c:v>18.6000004</c:v>
                </c:pt>
                <c:pt idx="187">
                  <c:v>18.7000008</c:v>
                </c:pt>
                <c:pt idx="188">
                  <c:v>18.7999992</c:v>
                </c:pt>
                <c:pt idx="189">
                  <c:v>18.8999996</c:v>
                </c:pt>
                <c:pt idx="190">
                  <c:v>19.0</c:v>
                </c:pt>
                <c:pt idx="191">
                  <c:v>19.1000004</c:v>
                </c:pt>
                <c:pt idx="192">
                  <c:v>19.2000008</c:v>
                </c:pt>
                <c:pt idx="193">
                  <c:v>19.2999992</c:v>
                </c:pt>
                <c:pt idx="194">
                  <c:v>19.3999996</c:v>
                </c:pt>
                <c:pt idx="195">
                  <c:v>19.5</c:v>
                </c:pt>
                <c:pt idx="196">
                  <c:v>19.6000004</c:v>
                </c:pt>
                <c:pt idx="197">
                  <c:v>19.7000008</c:v>
                </c:pt>
                <c:pt idx="198">
                  <c:v>19.7999992</c:v>
                </c:pt>
                <c:pt idx="199">
                  <c:v>19.8999996</c:v>
                </c:pt>
                <c:pt idx="200">
                  <c:v>20.0</c:v>
                </c:pt>
                <c:pt idx="201">
                  <c:v>20.1000004</c:v>
                </c:pt>
                <c:pt idx="202">
                  <c:v>20.2000008</c:v>
                </c:pt>
                <c:pt idx="203">
                  <c:v>20.2999992</c:v>
                </c:pt>
                <c:pt idx="204">
                  <c:v>20.3999996</c:v>
                </c:pt>
                <c:pt idx="205">
                  <c:v>20.5</c:v>
                </c:pt>
                <c:pt idx="206">
                  <c:v>20.6000004</c:v>
                </c:pt>
                <c:pt idx="207">
                  <c:v>20.7000008</c:v>
                </c:pt>
                <c:pt idx="208">
                  <c:v>20.7999992</c:v>
                </c:pt>
                <c:pt idx="209">
                  <c:v>20.8999996</c:v>
                </c:pt>
                <c:pt idx="210">
                  <c:v>21.0</c:v>
                </c:pt>
                <c:pt idx="211">
                  <c:v>21.1000004</c:v>
                </c:pt>
                <c:pt idx="212">
                  <c:v>21.2000008</c:v>
                </c:pt>
                <c:pt idx="213">
                  <c:v>21.2999992</c:v>
                </c:pt>
                <c:pt idx="214">
                  <c:v>21.3999996</c:v>
                </c:pt>
                <c:pt idx="215">
                  <c:v>21.5</c:v>
                </c:pt>
                <c:pt idx="216">
                  <c:v>21.6000004</c:v>
                </c:pt>
                <c:pt idx="217">
                  <c:v>21.7000008</c:v>
                </c:pt>
                <c:pt idx="218">
                  <c:v>21.7999992</c:v>
                </c:pt>
                <c:pt idx="219">
                  <c:v>21.8999996</c:v>
                </c:pt>
                <c:pt idx="220">
                  <c:v>22.0</c:v>
                </c:pt>
                <c:pt idx="221">
                  <c:v>22.1000004</c:v>
                </c:pt>
                <c:pt idx="222">
                  <c:v>22.2000008</c:v>
                </c:pt>
                <c:pt idx="223">
                  <c:v>22.2999992</c:v>
                </c:pt>
                <c:pt idx="224">
                  <c:v>22.3999996</c:v>
                </c:pt>
                <c:pt idx="225">
                  <c:v>22.5</c:v>
                </c:pt>
                <c:pt idx="226">
                  <c:v>22.6000004</c:v>
                </c:pt>
                <c:pt idx="227">
                  <c:v>22.7000008</c:v>
                </c:pt>
                <c:pt idx="228">
                  <c:v>22.7999992</c:v>
                </c:pt>
                <c:pt idx="229">
                  <c:v>22.8999996</c:v>
                </c:pt>
                <c:pt idx="230">
                  <c:v>23.0</c:v>
                </c:pt>
                <c:pt idx="231">
                  <c:v>23.1000004</c:v>
                </c:pt>
                <c:pt idx="232">
                  <c:v>23.2000008</c:v>
                </c:pt>
                <c:pt idx="233">
                  <c:v>23.2999992</c:v>
                </c:pt>
                <c:pt idx="234">
                  <c:v>23.3999996</c:v>
                </c:pt>
                <c:pt idx="235">
                  <c:v>23.5</c:v>
                </c:pt>
                <c:pt idx="236">
                  <c:v>23.6000004</c:v>
                </c:pt>
                <c:pt idx="237">
                  <c:v>23.7000008</c:v>
                </c:pt>
                <c:pt idx="238">
                  <c:v>23.7999992</c:v>
                </c:pt>
                <c:pt idx="239">
                  <c:v>23.8999996</c:v>
                </c:pt>
                <c:pt idx="240">
                  <c:v>24.0</c:v>
                </c:pt>
                <c:pt idx="241">
                  <c:v>24.1000004</c:v>
                </c:pt>
                <c:pt idx="242">
                  <c:v>24.2000008</c:v>
                </c:pt>
                <c:pt idx="243">
                  <c:v>24.2999992</c:v>
                </c:pt>
                <c:pt idx="244">
                  <c:v>24.3999996</c:v>
                </c:pt>
                <c:pt idx="245">
                  <c:v>24.5</c:v>
                </c:pt>
                <c:pt idx="246">
                  <c:v>24.6000004</c:v>
                </c:pt>
                <c:pt idx="247">
                  <c:v>24.7000008</c:v>
                </c:pt>
                <c:pt idx="248">
                  <c:v>24.7999992</c:v>
                </c:pt>
                <c:pt idx="249">
                  <c:v>24.8999996</c:v>
                </c:pt>
                <c:pt idx="250">
                  <c:v>25.0</c:v>
                </c:pt>
                <c:pt idx="251">
                  <c:v>25.1000004</c:v>
                </c:pt>
                <c:pt idx="252">
                  <c:v>25.2000008</c:v>
                </c:pt>
                <c:pt idx="253">
                  <c:v>25.2999992</c:v>
                </c:pt>
                <c:pt idx="254">
                  <c:v>25.3999996</c:v>
                </c:pt>
                <c:pt idx="255">
                  <c:v>25.5</c:v>
                </c:pt>
                <c:pt idx="256">
                  <c:v>25.6000004</c:v>
                </c:pt>
                <c:pt idx="257">
                  <c:v>25.7000008</c:v>
                </c:pt>
                <c:pt idx="258">
                  <c:v>25.7999992</c:v>
                </c:pt>
                <c:pt idx="259">
                  <c:v>25.8999996</c:v>
                </c:pt>
                <c:pt idx="260">
                  <c:v>26.0</c:v>
                </c:pt>
                <c:pt idx="261">
                  <c:v>26.1000004</c:v>
                </c:pt>
                <c:pt idx="262">
                  <c:v>26.2000008</c:v>
                </c:pt>
                <c:pt idx="263">
                  <c:v>26.2999992</c:v>
                </c:pt>
                <c:pt idx="264">
                  <c:v>26.3999996</c:v>
                </c:pt>
                <c:pt idx="265">
                  <c:v>26.5</c:v>
                </c:pt>
                <c:pt idx="266">
                  <c:v>26.6000004</c:v>
                </c:pt>
                <c:pt idx="267">
                  <c:v>26.7000008</c:v>
                </c:pt>
                <c:pt idx="268">
                  <c:v>26.7999992</c:v>
                </c:pt>
                <c:pt idx="269">
                  <c:v>26.8999996</c:v>
                </c:pt>
                <c:pt idx="270">
                  <c:v>27.0</c:v>
                </c:pt>
                <c:pt idx="271">
                  <c:v>27.1000004</c:v>
                </c:pt>
                <c:pt idx="272">
                  <c:v>27.2000008</c:v>
                </c:pt>
                <c:pt idx="273">
                  <c:v>27.2999992</c:v>
                </c:pt>
                <c:pt idx="274">
                  <c:v>27.3999996</c:v>
                </c:pt>
                <c:pt idx="275">
                  <c:v>27.5</c:v>
                </c:pt>
                <c:pt idx="276">
                  <c:v>27.6000004</c:v>
                </c:pt>
                <c:pt idx="277">
                  <c:v>27.7000008</c:v>
                </c:pt>
                <c:pt idx="278">
                  <c:v>27.7999992</c:v>
                </c:pt>
                <c:pt idx="279">
                  <c:v>27.8999996</c:v>
                </c:pt>
                <c:pt idx="280">
                  <c:v>28.0</c:v>
                </c:pt>
                <c:pt idx="281">
                  <c:v>28.1000004</c:v>
                </c:pt>
                <c:pt idx="282">
                  <c:v>28.2000008</c:v>
                </c:pt>
                <c:pt idx="283">
                  <c:v>28.2999992</c:v>
                </c:pt>
                <c:pt idx="284">
                  <c:v>28.3999996</c:v>
                </c:pt>
                <c:pt idx="285">
                  <c:v>28.5</c:v>
                </c:pt>
                <c:pt idx="286">
                  <c:v>28.6000004</c:v>
                </c:pt>
                <c:pt idx="287">
                  <c:v>28.7000008</c:v>
                </c:pt>
                <c:pt idx="288">
                  <c:v>28.7999992</c:v>
                </c:pt>
                <c:pt idx="289">
                  <c:v>28.8999996</c:v>
                </c:pt>
                <c:pt idx="290">
                  <c:v>29.0</c:v>
                </c:pt>
                <c:pt idx="291">
                  <c:v>29.1000004</c:v>
                </c:pt>
                <c:pt idx="292">
                  <c:v>29.2000008</c:v>
                </c:pt>
                <c:pt idx="293">
                  <c:v>29.2999992</c:v>
                </c:pt>
                <c:pt idx="294">
                  <c:v>29.3999996</c:v>
                </c:pt>
                <c:pt idx="295">
                  <c:v>29.5</c:v>
                </c:pt>
                <c:pt idx="296">
                  <c:v>29.6000004</c:v>
                </c:pt>
                <c:pt idx="297">
                  <c:v>29.7000008</c:v>
                </c:pt>
                <c:pt idx="298">
                  <c:v>29.7999992</c:v>
                </c:pt>
                <c:pt idx="299">
                  <c:v>29.8999996</c:v>
                </c:pt>
                <c:pt idx="300">
                  <c:v>30.0</c:v>
                </c:pt>
                <c:pt idx="301">
                  <c:v>30.1000004</c:v>
                </c:pt>
                <c:pt idx="302">
                  <c:v>30.2000008</c:v>
                </c:pt>
                <c:pt idx="303">
                  <c:v>30.2999992</c:v>
                </c:pt>
                <c:pt idx="304">
                  <c:v>30.3999996</c:v>
                </c:pt>
                <c:pt idx="305">
                  <c:v>30.5</c:v>
                </c:pt>
                <c:pt idx="306">
                  <c:v>30.6000004</c:v>
                </c:pt>
                <c:pt idx="307">
                  <c:v>30.7000008</c:v>
                </c:pt>
                <c:pt idx="308">
                  <c:v>30.7999992</c:v>
                </c:pt>
                <c:pt idx="309">
                  <c:v>30.8999996</c:v>
                </c:pt>
                <c:pt idx="310">
                  <c:v>31.0</c:v>
                </c:pt>
                <c:pt idx="311">
                  <c:v>31.1000004</c:v>
                </c:pt>
                <c:pt idx="312">
                  <c:v>31.2000008</c:v>
                </c:pt>
                <c:pt idx="313">
                  <c:v>31.2999992</c:v>
                </c:pt>
                <c:pt idx="314">
                  <c:v>31.3999996</c:v>
                </c:pt>
                <c:pt idx="315">
                  <c:v>31.5</c:v>
                </c:pt>
                <c:pt idx="316">
                  <c:v>31.6000004</c:v>
                </c:pt>
                <c:pt idx="317">
                  <c:v>31.7000008</c:v>
                </c:pt>
                <c:pt idx="318">
                  <c:v>31.7999992</c:v>
                </c:pt>
                <c:pt idx="319">
                  <c:v>31.8999996</c:v>
                </c:pt>
                <c:pt idx="320">
                  <c:v>32.0</c:v>
                </c:pt>
                <c:pt idx="321">
                  <c:v>32.0999985</c:v>
                </c:pt>
                <c:pt idx="322">
                  <c:v>32.2000008</c:v>
                </c:pt>
                <c:pt idx="323">
                  <c:v>32.2999992</c:v>
                </c:pt>
                <c:pt idx="324">
                  <c:v>32.4000015</c:v>
                </c:pt>
                <c:pt idx="325">
                  <c:v>32.5</c:v>
                </c:pt>
                <c:pt idx="326">
                  <c:v>32.5999985</c:v>
                </c:pt>
                <c:pt idx="327">
                  <c:v>32.7000008</c:v>
                </c:pt>
                <c:pt idx="328">
                  <c:v>32.7999992</c:v>
                </c:pt>
                <c:pt idx="329">
                  <c:v>32.9000015</c:v>
                </c:pt>
                <c:pt idx="330">
                  <c:v>33.0</c:v>
                </c:pt>
                <c:pt idx="331">
                  <c:v>33.0999985</c:v>
                </c:pt>
                <c:pt idx="332">
                  <c:v>33.2000008</c:v>
                </c:pt>
                <c:pt idx="333">
                  <c:v>33.2999992</c:v>
                </c:pt>
                <c:pt idx="334">
                  <c:v>33.4000015</c:v>
                </c:pt>
                <c:pt idx="335">
                  <c:v>33.5</c:v>
                </c:pt>
                <c:pt idx="336">
                  <c:v>33.5999985</c:v>
                </c:pt>
                <c:pt idx="337">
                  <c:v>33.7000008</c:v>
                </c:pt>
                <c:pt idx="338">
                  <c:v>33.7999992</c:v>
                </c:pt>
                <c:pt idx="339">
                  <c:v>33.9000015</c:v>
                </c:pt>
                <c:pt idx="340">
                  <c:v>34.0</c:v>
                </c:pt>
                <c:pt idx="341">
                  <c:v>34.0999985</c:v>
                </c:pt>
                <c:pt idx="342">
                  <c:v>34.2000008</c:v>
                </c:pt>
                <c:pt idx="343">
                  <c:v>34.2999992</c:v>
                </c:pt>
                <c:pt idx="344">
                  <c:v>34.4000015</c:v>
                </c:pt>
                <c:pt idx="345">
                  <c:v>34.5</c:v>
                </c:pt>
                <c:pt idx="346">
                  <c:v>34.5999985</c:v>
                </c:pt>
                <c:pt idx="347">
                  <c:v>34.7000008</c:v>
                </c:pt>
                <c:pt idx="348">
                  <c:v>34.7999992</c:v>
                </c:pt>
                <c:pt idx="349">
                  <c:v>34.9000015</c:v>
                </c:pt>
                <c:pt idx="350">
                  <c:v>35.0</c:v>
                </c:pt>
                <c:pt idx="351">
                  <c:v>35.0999985</c:v>
                </c:pt>
                <c:pt idx="352">
                  <c:v>35.2000008</c:v>
                </c:pt>
                <c:pt idx="353">
                  <c:v>35.2999992</c:v>
                </c:pt>
                <c:pt idx="354">
                  <c:v>35.4000015</c:v>
                </c:pt>
                <c:pt idx="355">
                  <c:v>35.5</c:v>
                </c:pt>
                <c:pt idx="356">
                  <c:v>35.5999985</c:v>
                </c:pt>
                <c:pt idx="357">
                  <c:v>35.7000008</c:v>
                </c:pt>
                <c:pt idx="358">
                  <c:v>35.7999992</c:v>
                </c:pt>
                <c:pt idx="359">
                  <c:v>35.9000015</c:v>
                </c:pt>
                <c:pt idx="360">
                  <c:v>36.0</c:v>
                </c:pt>
                <c:pt idx="361">
                  <c:v>36.0999985</c:v>
                </c:pt>
                <c:pt idx="362">
                  <c:v>36.2000008</c:v>
                </c:pt>
                <c:pt idx="363">
                  <c:v>36.2999992</c:v>
                </c:pt>
                <c:pt idx="364">
                  <c:v>36.4000015</c:v>
                </c:pt>
                <c:pt idx="365">
                  <c:v>36.5</c:v>
                </c:pt>
                <c:pt idx="366">
                  <c:v>36.5999985</c:v>
                </c:pt>
                <c:pt idx="367">
                  <c:v>36.7000008</c:v>
                </c:pt>
                <c:pt idx="368">
                  <c:v>36.7999992</c:v>
                </c:pt>
                <c:pt idx="369">
                  <c:v>36.9000015</c:v>
                </c:pt>
                <c:pt idx="370">
                  <c:v>37.0</c:v>
                </c:pt>
                <c:pt idx="371">
                  <c:v>37.0999985</c:v>
                </c:pt>
                <c:pt idx="372">
                  <c:v>37.2000008</c:v>
                </c:pt>
                <c:pt idx="373">
                  <c:v>37.2999992</c:v>
                </c:pt>
                <c:pt idx="374">
                  <c:v>37.4000015</c:v>
                </c:pt>
                <c:pt idx="375">
                  <c:v>37.5</c:v>
                </c:pt>
                <c:pt idx="376">
                  <c:v>37.5999985</c:v>
                </c:pt>
                <c:pt idx="377">
                  <c:v>37.7000008</c:v>
                </c:pt>
                <c:pt idx="378">
                  <c:v>37.7999992</c:v>
                </c:pt>
                <c:pt idx="379">
                  <c:v>37.9000015</c:v>
                </c:pt>
                <c:pt idx="380">
                  <c:v>38.0</c:v>
                </c:pt>
                <c:pt idx="381">
                  <c:v>38.0999985</c:v>
                </c:pt>
                <c:pt idx="382">
                  <c:v>38.2000008</c:v>
                </c:pt>
                <c:pt idx="383">
                  <c:v>38.2999992</c:v>
                </c:pt>
                <c:pt idx="384">
                  <c:v>38.4000015</c:v>
                </c:pt>
                <c:pt idx="385">
                  <c:v>38.5</c:v>
                </c:pt>
                <c:pt idx="386">
                  <c:v>38.5999985</c:v>
                </c:pt>
                <c:pt idx="387">
                  <c:v>38.7000008</c:v>
                </c:pt>
                <c:pt idx="388">
                  <c:v>38.7999992</c:v>
                </c:pt>
                <c:pt idx="389">
                  <c:v>38.9000015</c:v>
                </c:pt>
                <c:pt idx="390">
                  <c:v>39.0</c:v>
                </c:pt>
                <c:pt idx="391">
                  <c:v>39.0999985</c:v>
                </c:pt>
                <c:pt idx="392">
                  <c:v>39.2000008</c:v>
                </c:pt>
                <c:pt idx="393">
                  <c:v>39.2999992</c:v>
                </c:pt>
                <c:pt idx="394">
                  <c:v>39.4000015</c:v>
                </c:pt>
                <c:pt idx="395">
                  <c:v>39.5</c:v>
                </c:pt>
                <c:pt idx="396">
                  <c:v>39.5999985</c:v>
                </c:pt>
                <c:pt idx="397">
                  <c:v>39.7000008</c:v>
                </c:pt>
                <c:pt idx="398">
                  <c:v>39.7999992</c:v>
                </c:pt>
                <c:pt idx="399">
                  <c:v>39.9000015</c:v>
                </c:pt>
                <c:pt idx="400">
                  <c:v>40.0</c:v>
                </c:pt>
              </c:numCache>
            </c:numRef>
          </c:xVal>
          <c:yVal>
            <c:numRef>
              <c:f>Sheet1!$E$21:$E$520</c:f>
              <c:numCache>
                <c:formatCode>0.0000E+00</c:formatCode>
                <c:ptCount val="500"/>
                <c:pt idx="0">
                  <c:v>0.0</c:v>
                </c:pt>
                <c:pt idx="1">
                  <c:v>2.11933002E-6</c:v>
                </c:pt>
                <c:pt idx="2">
                  <c:v>2.27536998E-6</c:v>
                </c:pt>
                <c:pt idx="3">
                  <c:v>2.42832994E-6</c:v>
                </c:pt>
                <c:pt idx="4">
                  <c:v>2.57824991E-6</c:v>
                </c:pt>
                <c:pt idx="5">
                  <c:v>2.72520992E-6</c:v>
                </c:pt>
                <c:pt idx="6">
                  <c:v>2.86925001E-6</c:v>
                </c:pt>
                <c:pt idx="7">
                  <c:v>3.01044997E-6</c:v>
                </c:pt>
                <c:pt idx="8">
                  <c:v>3.14884005E-6</c:v>
                </c:pt>
                <c:pt idx="9">
                  <c:v>3.28450005E-6</c:v>
                </c:pt>
                <c:pt idx="10">
                  <c:v>3.41747E-6</c:v>
                </c:pt>
                <c:pt idx="11">
                  <c:v>3.54780991E-6</c:v>
                </c:pt>
                <c:pt idx="12">
                  <c:v>3.67557004E-6</c:v>
                </c:pt>
                <c:pt idx="13">
                  <c:v>3.80079996E-6</c:v>
                </c:pt>
                <c:pt idx="14">
                  <c:v>3.92354013E-6</c:v>
                </c:pt>
                <c:pt idx="15">
                  <c:v>4.04385992E-6</c:v>
                </c:pt>
                <c:pt idx="16">
                  <c:v>4.16180001E-6</c:v>
                </c:pt>
                <c:pt idx="17">
                  <c:v>4.27739997E-6</c:v>
                </c:pt>
                <c:pt idx="18">
                  <c:v>4.39070982E-6</c:v>
                </c:pt>
                <c:pt idx="19">
                  <c:v>4.50178004E-6</c:v>
                </c:pt>
                <c:pt idx="20">
                  <c:v>4.61065019E-6</c:v>
                </c:pt>
                <c:pt idx="21">
                  <c:v>4.71735984E-6</c:v>
                </c:pt>
                <c:pt idx="22">
                  <c:v>4.82195992E-6</c:v>
                </c:pt>
                <c:pt idx="23">
                  <c:v>4.92448999E-6</c:v>
                </c:pt>
                <c:pt idx="24">
                  <c:v>5.02499006E-6</c:v>
                </c:pt>
                <c:pt idx="25">
                  <c:v>5.12349015E-6</c:v>
                </c:pt>
                <c:pt idx="26">
                  <c:v>5.22004984E-6</c:v>
                </c:pt>
                <c:pt idx="27">
                  <c:v>5.31470005E-6</c:v>
                </c:pt>
                <c:pt idx="28">
                  <c:v>5.40746987E-6</c:v>
                </c:pt>
                <c:pt idx="29">
                  <c:v>5.49840979E-6</c:v>
                </c:pt>
                <c:pt idx="30">
                  <c:v>5.58753982E-6</c:v>
                </c:pt>
                <c:pt idx="31">
                  <c:v>5.67490997E-6</c:v>
                </c:pt>
                <c:pt idx="32">
                  <c:v>5.76054981E-6</c:v>
                </c:pt>
                <c:pt idx="33">
                  <c:v>5.84448981E-6</c:v>
                </c:pt>
                <c:pt idx="34">
                  <c:v>5.92677998E-6</c:v>
                </c:pt>
                <c:pt idx="35">
                  <c:v>6.00742987E-6</c:v>
                </c:pt>
                <c:pt idx="36">
                  <c:v>6.08647997E-6</c:v>
                </c:pt>
                <c:pt idx="37">
                  <c:v>6.16396983E-6</c:v>
                </c:pt>
                <c:pt idx="38">
                  <c:v>6.23992992E-6</c:v>
                </c:pt>
                <c:pt idx="39">
                  <c:v>6.31437979E-6</c:v>
                </c:pt>
                <c:pt idx="40">
                  <c:v>6.38735992E-6</c:v>
                </c:pt>
                <c:pt idx="41">
                  <c:v>6.45888986E-6</c:v>
                </c:pt>
                <c:pt idx="42">
                  <c:v>6.52901008E-6</c:v>
                </c:pt>
                <c:pt idx="43">
                  <c:v>6.59774014E-6</c:v>
                </c:pt>
                <c:pt idx="44">
                  <c:v>6.66510005E-6</c:v>
                </c:pt>
                <c:pt idx="45">
                  <c:v>6.73113982E-6</c:v>
                </c:pt>
                <c:pt idx="46">
                  <c:v>6.79585992E-6</c:v>
                </c:pt>
                <c:pt idx="47">
                  <c:v>6.85930991E-6</c:v>
                </c:pt>
                <c:pt idx="48">
                  <c:v>6.92148978E-6</c:v>
                </c:pt>
                <c:pt idx="49">
                  <c:v>6.98245003E-6</c:v>
                </c:pt>
                <c:pt idx="50">
                  <c:v>7.0422002E-6</c:v>
                </c:pt>
                <c:pt idx="51">
                  <c:v>7.10076984E-6</c:v>
                </c:pt>
                <c:pt idx="52">
                  <c:v>7.15816986E-6</c:v>
                </c:pt>
                <c:pt idx="53">
                  <c:v>7.21443985E-6</c:v>
                </c:pt>
                <c:pt idx="54">
                  <c:v>7.26959979E-6</c:v>
                </c:pt>
                <c:pt idx="55">
                  <c:v>7.32366016E-6</c:v>
                </c:pt>
                <c:pt idx="56">
                  <c:v>7.37666005E-6</c:v>
                </c:pt>
                <c:pt idx="57">
                  <c:v>7.42859993E-6</c:v>
                </c:pt>
                <c:pt idx="58">
                  <c:v>7.47951981E-6</c:v>
                </c:pt>
                <c:pt idx="59">
                  <c:v>7.52942015E-6</c:v>
                </c:pt>
                <c:pt idx="60">
                  <c:v>7.57834005E-6</c:v>
                </c:pt>
                <c:pt idx="61">
                  <c:v>7.62628997E-6</c:v>
                </c:pt>
                <c:pt idx="62">
                  <c:v>7.67329038E-6</c:v>
                </c:pt>
                <c:pt idx="63">
                  <c:v>7.71935993E-6</c:v>
                </c:pt>
                <c:pt idx="64">
                  <c:v>7.76451998E-6</c:v>
                </c:pt>
                <c:pt idx="65">
                  <c:v>7.80878963E-6</c:v>
                </c:pt>
                <c:pt idx="66">
                  <c:v>7.8521698E-6</c:v>
                </c:pt>
                <c:pt idx="67">
                  <c:v>7.89469959E-6</c:v>
                </c:pt>
                <c:pt idx="68">
                  <c:v>7.93638992E-6</c:v>
                </c:pt>
                <c:pt idx="69">
                  <c:v>7.97724988E-6</c:v>
                </c:pt>
                <c:pt idx="70">
                  <c:v>8.01730039E-6</c:v>
                </c:pt>
                <c:pt idx="71">
                  <c:v>8.05655964E-6</c:v>
                </c:pt>
                <c:pt idx="72">
                  <c:v>8.09504036E-6</c:v>
                </c:pt>
                <c:pt idx="73">
                  <c:v>8.13275983E-6</c:v>
                </c:pt>
                <c:pt idx="74">
                  <c:v>8.16972988E-6</c:v>
                </c:pt>
                <c:pt idx="75">
                  <c:v>8.20596961E-6</c:v>
                </c:pt>
                <c:pt idx="76">
                  <c:v>8.24149993E-6</c:v>
                </c:pt>
                <c:pt idx="77">
                  <c:v>8.27631993E-6</c:v>
                </c:pt>
                <c:pt idx="78">
                  <c:v>8.31044963E-6</c:v>
                </c:pt>
                <c:pt idx="79">
                  <c:v>8.34389994E-6</c:v>
                </c:pt>
                <c:pt idx="80">
                  <c:v>8.37668995E-6</c:v>
                </c:pt>
                <c:pt idx="81">
                  <c:v>8.40883968E-6</c:v>
                </c:pt>
                <c:pt idx="82">
                  <c:v>8.44034003E-6</c:v>
                </c:pt>
                <c:pt idx="83">
                  <c:v>8.4712201E-6</c:v>
                </c:pt>
                <c:pt idx="84">
                  <c:v>8.5014899E-6</c:v>
                </c:pt>
                <c:pt idx="85">
                  <c:v>8.53117035E-6</c:v>
                </c:pt>
                <c:pt idx="86">
                  <c:v>8.56024963E-6</c:v>
                </c:pt>
                <c:pt idx="87">
                  <c:v>8.58875956E-6</c:v>
                </c:pt>
                <c:pt idx="88">
                  <c:v>8.61670014E-6</c:v>
                </c:pt>
                <c:pt idx="89">
                  <c:v>8.64408958E-6</c:v>
                </c:pt>
                <c:pt idx="90">
                  <c:v>8.67093968E-6</c:v>
                </c:pt>
                <c:pt idx="91">
                  <c:v>8.69725955E-6</c:v>
                </c:pt>
                <c:pt idx="92">
                  <c:v>8.72305009E-6</c:v>
                </c:pt>
                <c:pt idx="93">
                  <c:v>8.74834041E-6</c:v>
                </c:pt>
                <c:pt idx="94">
                  <c:v>8.77311959E-6</c:v>
                </c:pt>
                <c:pt idx="95">
                  <c:v>8.79741037E-6</c:v>
                </c:pt>
                <c:pt idx="96">
                  <c:v>8.82122004E-6</c:v>
                </c:pt>
                <c:pt idx="97">
                  <c:v>8.8445704E-6</c:v>
                </c:pt>
                <c:pt idx="98">
                  <c:v>8.86743965E-6</c:v>
                </c:pt>
                <c:pt idx="99">
                  <c:v>8.8898696E-6</c:v>
                </c:pt>
                <c:pt idx="100">
                  <c:v>8.91185027E-6</c:v>
                </c:pt>
                <c:pt idx="101">
                  <c:v>6.81406982E-6</c:v>
                </c:pt>
                <c:pt idx="102">
                  <c:v>6.67913991E-6</c:v>
                </c:pt>
                <c:pt idx="103">
                  <c:v>6.54688984E-6</c:v>
                </c:pt>
                <c:pt idx="104">
                  <c:v>6.41726001E-6</c:v>
                </c:pt>
                <c:pt idx="105">
                  <c:v>6.29018996E-6</c:v>
                </c:pt>
                <c:pt idx="106">
                  <c:v>6.16564012E-6</c:v>
                </c:pt>
                <c:pt idx="107">
                  <c:v>6.04356001E-6</c:v>
                </c:pt>
                <c:pt idx="108">
                  <c:v>5.92389006E-6</c:v>
                </c:pt>
                <c:pt idx="109">
                  <c:v>5.8065898E-6</c:v>
                </c:pt>
                <c:pt idx="110">
                  <c:v>5.69162012E-6</c:v>
                </c:pt>
                <c:pt idx="111">
                  <c:v>5.57892008E-6</c:v>
                </c:pt>
                <c:pt idx="112">
                  <c:v>5.46846013E-6</c:v>
                </c:pt>
                <c:pt idx="113">
                  <c:v>5.36017978E-6</c:v>
                </c:pt>
                <c:pt idx="114">
                  <c:v>5.25403993E-6</c:v>
                </c:pt>
                <c:pt idx="115">
                  <c:v>5.15001011E-6</c:v>
                </c:pt>
                <c:pt idx="116">
                  <c:v>5.04802983E-6</c:v>
                </c:pt>
                <c:pt idx="117">
                  <c:v>4.94808E-6</c:v>
                </c:pt>
                <c:pt idx="118">
                  <c:v>4.85010014E-6</c:v>
                </c:pt>
                <c:pt idx="119">
                  <c:v>4.75406978E-6</c:v>
                </c:pt>
                <c:pt idx="120">
                  <c:v>4.6599398E-6</c:v>
                </c:pt>
                <c:pt idx="121">
                  <c:v>4.5676702E-6</c:v>
                </c:pt>
                <c:pt idx="122">
                  <c:v>4.47722005E-6</c:v>
                </c:pt>
                <c:pt idx="123">
                  <c:v>4.38856978E-6</c:v>
                </c:pt>
                <c:pt idx="124">
                  <c:v>4.30166983E-6</c:v>
                </c:pt>
                <c:pt idx="125">
                  <c:v>4.2165002E-6</c:v>
                </c:pt>
                <c:pt idx="126">
                  <c:v>4.13300995E-6</c:v>
                </c:pt>
                <c:pt idx="127">
                  <c:v>4.05116998E-6</c:v>
                </c:pt>
                <c:pt idx="128">
                  <c:v>3.97095982E-6</c:v>
                </c:pt>
                <c:pt idx="129">
                  <c:v>3.89232991E-6</c:v>
                </c:pt>
                <c:pt idx="130">
                  <c:v>3.81525979E-6</c:v>
                </c:pt>
                <c:pt idx="131">
                  <c:v>3.73971011E-6</c:v>
                </c:pt>
                <c:pt idx="132">
                  <c:v>3.66565996E-6</c:v>
                </c:pt>
                <c:pt idx="133">
                  <c:v>3.59308001E-6</c:v>
                </c:pt>
                <c:pt idx="134">
                  <c:v>3.52194002E-6</c:v>
                </c:pt>
                <c:pt idx="135">
                  <c:v>3.45219996E-6</c:v>
                </c:pt>
                <c:pt idx="136">
                  <c:v>3.38384007E-6</c:v>
                </c:pt>
                <c:pt idx="137">
                  <c:v>3.31684009E-6</c:v>
                </c:pt>
                <c:pt idx="138">
                  <c:v>3.25117003E-6</c:v>
                </c:pt>
                <c:pt idx="139">
                  <c:v>3.18679008E-6</c:v>
                </c:pt>
                <c:pt idx="140">
                  <c:v>3.12369002E-6</c:v>
                </c:pt>
                <c:pt idx="141">
                  <c:v>3.06184006E-6</c:v>
                </c:pt>
                <c:pt idx="142">
                  <c:v>3.00120996E-6</c:v>
                </c:pt>
                <c:pt idx="143">
                  <c:v>2.94178994E-6</c:v>
                </c:pt>
                <c:pt idx="144">
                  <c:v>2.88353999E-6</c:v>
                </c:pt>
                <c:pt idx="145">
                  <c:v>2.8264401E-6</c:v>
                </c:pt>
                <c:pt idx="146">
                  <c:v>2.77048002E-6</c:v>
                </c:pt>
                <c:pt idx="147">
                  <c:v>2.71561998E-6</c:v>
                </c:pt>
                <c:pt idx="148">
                  <c:v>2.66184998E-6</c:v>
                </c:pt>
                <c:pt idx="149">
                  <c:v>2.60913998E-6</c:v>
                </c:pt>
                <c:pt idx="150">
                  <c:v>2.55748E-6</c:v>
                </c:pt>
                <c:pt idx="151">
                  <c:v>2.50684002E-6</c:v>
                </c:pt>
                <c:pt idx="152">
                  <c:v>2.45720003E-6</c:v>
                </c:pt>
                <c:pt idx="153">
                  <c:v>2.40855002E-6</c:v>
                </c:pt>
                <c:pt idx="154">
                  <c:v>2.36085998E-6</c:v>
                </c:pt>
                <c:pt idx="155">
                  <c:v>2.31410991E-6</c:v>
                </c:pt>
                <c:pt idx="156">
                  <c:v>2.26829002E-6</c:v>
                </c:pt>
                <c:pt idx="157">
                  <c:v>2.22338008E-6</c:v>
                </c:pt>
                <c:pt idx="158">
                  <c:v>2.17935008E-6</c:v>
                </c:pt>
                <c:pt idx="159">
                  <c:v>2.13620001E-6</c:v>
                </c:pt>
                <c:pt idx="160">
                  <c:v>2.09390009E-6</c:v>
                </c:pt>
                <c:pt idx="161">
                  <c:v>2.0524401E-6</c:v>
                </c:pt>
                <c:pt idx="162">
                  <c:v>2.01180001E-6</c:v>
                </c:pt>
                <c:pt idx="163">
                  <c:v>1.97196005E-6</c:v>
                </c:pt>
                <c:pt idx="164">
                  <c:v>1.93291999E-6</c:v>
                </c:pt>
                <c:pt idx="165">
                  <c:v>1.89465004E-6</c:v>
                </c:pt>
                <c:pt idx="166">
                  <c:v>1.85712997E-6</c:v>
                </c:pt>
                <c:pt idx="167">
                  <c:v>1.82036001E-6</c:v>
                </c:pt>
                <c:pt idx="168">
                  <c:v>1.78431003E-6</c:v>
                </c:pt>
                <c:pt idx="169">
                  <c:v>1.74898003E-6</c:v>
                </c:pt>
                <c:pt idx="170">
                  <c:v>1.71434999E-6</c:v>
                </c:pt>
                <c:pt idx="171">
                  <c:v>1.68041004E-6</c:v>
                </c:pt>
                <c:pt idx="172">
                  <c:v>1.64713003E-6</c:v>
                </c:pt>
                <c:pt idx="173">
                  <c:v>1.61451999E-6</c:v>
                </c:pt>
                <c:pt idx="174">
                  <c:v>1.58255E-6</c:v>
                </c:pt>
                <c:pt idx="175">
                  <c:v>1.55120995E-6</c:v>
                </c:pt>
                <c:pt idx="176">
                  <c:v>1.52049995E-6</c:v>
                </c:pt>
                <c:pt idx="177">
                  <c:v>1.49038999E-6</c:v>
                </c:pt>
                <c:pt idx="178">
                  <c:v>1.46087996E-6</c:v>
                </c:pt>
                <c:pt idx="179">
                  <c:v>1.43195996E-6</c:v>
                </c:pt>
                <c:pt idx="180">
                  <c:v>1.40359998E-6</c:v>
                </c:pt>
                <c:pt idx="181">
                  <c:v>1.37581003E-6</c:v>
                </c:pt>
                <c:pt idx="182">
                  <c:v>1.34856998E-6</c:v>
                </c:pt>
                <c:pt idx="183">
                  <c:v>1.32186995E-6</c:v>
                </c:pt>
                <c:pt idx="184">
                  <c:v>1.29569003E-6</c:v>
                </c:pt>
                <c:pt idx="185">
                  <c:v>1.27004E-6</c:v>
                </c:pt>
                <c:pt idx="186">
                  <c:v>1.24488997E-6</c:v>
                </c:pt>
                <c:pt idx="187">
                  <c:v>1.22024005E-6</c:v>
                </c:pt>
                <c:pt idx="188">
                  <c:v>1.19608001E-6</c:v>
                </c:pt>
                <c:pt idx="189">
                  <c:v>1.17238994E-6</c:v>
                </c:pt>
                <c:pt idx="190">
                  <c:v>1.14917998E-6</c:v>
                </c:pt>
                <c:pt idx="191">
                  <c:v>1.12642999E-6</c:v>
                </c:pt>
                <c:pt idx="192">
                  <c:v>1.10411997E-6</c:v>
                </c:pt>
                <c:pt idx="193">
                  <c:v>1.08226004E-6</c:v>
                </c:pt>
                <c:pt idx="194">
                  <c:v>1.06082996E-6</c:v>
                </c:pt>
                <c:pt idx="195">
                  <c:v>1.03981995E-6</c:v>
                </c:pt>
                <c:pt idx="196">
                  <c:v>1.01923001E-6</c:v>
                </c:pt>
                <c:pt idx="197">
                  <c:v>9.99052986E-7</c:v>
                </c:pt>
                <c:pt idx="198">
                  <c:v>9.79271022E-7</c:v>
                </c:pt>
                <c:pt idx="199">
                  <c:v>9.59881049E-7</c:v>
                </c:pt>
                <c:pt idx="200">
                  <c:v>9.40874997E-7</c:v>
                </c:pt>
                <c:pt idx="201">
                  <c:v>9.22245022E-7</c:v>
                </c:pt>
                <c:pt idx="202">
                  <c:v>9.03984017E-7</c:v>
                </c:pt>
                <c:pt idx="203">
                  <c:v>8.86084024E-7</c:v>
                </c:pt>
                <c:pt idx="204">
                  <c:v>8.68539018E-7</c:v>
                </c:pt>
                <c:pt idx="205">
                  <c:v>8.51342008E-7</c:v>
                </c:pt>
                <c:pt idx="206">
                  <c:v>8.34484979E-7</c:v>
                </c:pt>
                <c:pt idx="207">
                  <c:v>8.17960995E-7</c:v>
                </c:pt>
                <c:pt idx="208">
                  <c:v>8.01764998E-7</c:v>
                </c:pt>
                <c:pt idx="209">
                  <c:v>7.85889995E-7</c:v>
                </c:pt>
                <c:pt idx="210">
                  <c:v>7.70327972E-7</c:v>
                </c:pt>
                <c:pt idx="211">
                  <c:v>7.55075007E-7</c:v>
                </c:pt>
                <c:pt idx="212">
                  <c:v>7.40123994E-7</c:v>
                </c:pt>
                <c:pt idx="213">
                  <c:v>7.25469022E-7</c:v>
                </c:pt>
                <c:pt idx="214">
                  <c:v>7.11104974E-7</c:v>
                </c:pt>
                <c:pt idx="215">
                  <c:v>6.97024007E-7</c:v>
                </c:pt>
                <c:pt idx="216">
                  <c:v>6.83222993E-7</c:v>
                </c:pt>
                <c:pt idx="217">
                  <c:v>6.69693975E-7</c:v>
                </c:pt>
                <c:pt idx="218">
                  <c:v>6.56433997E-7</c:v>
                </c:pt>
                <c:pt idx="219">
                  <c:v>6.4343601E-7</c:v>
                </c:pt>
                <c:pt idx="220">
                  <c:v>6.30695979E-7</c:v>
                </c:pt>
                <c:pt idx="221">
                  <c:v>6.18207991E-7</c:v>
                </c:pt>
                <c:pt idx="222">
                  <c:v>6.05966989E-7</c:v>
                </c:pt>
                <c:pt idx="223">
                  <c:v>5.93968025E-7</c:v>
                </c:pt>
                <c:pt idx="224">
                  <c:v>5.82207008E-7</c:v>
                </c:pt>
                <c:pt idx="225">
                  <c:v>5.70678992E-7</c:v>
                </c:pt>
                <c:pt idx="226">
                  <c:v>5.59378975E-7</c:v>
                </c:pt>
                <c:pt idx="227">
                  <c:v>5.48302978E-7</c:v>
                </c:pt>
                <c:pt idx="228">
                  <c:v>5.37445999E-7</c:v>
                </c:pt>
                <c:pt idx="229">
                  <c:v>5.26805024E-7</c:v>
                </c:pt>
                <c:pt idx="230">
                  <c:v>5.16373007E-7</c:v>
                </c:pt>
                <c:pt idx="231">
                  <c:v>5.06148979E-7</c:v>
                </c:pt>
                <c:pt idx="232">
                  <c:v>4.96126972E-7</c:v>
                </c:pt>
                <c:pt idx="233">
                  <c:v>4.86303009E-7</c:v>
                </c:pt>
                <c:pt idx="234">
                  <c:v>4.76673989E-7</c:v>
                </c:pt>
                <c:pt idx="235">
                  <c:v>4.67235992E-7</c:v>
                </c:pt>
                <c:pt idx="236">
                  <c:v>4.57983987E-7</c:v>
                </c:pt>
                <c:pt idx="237">
                  <c:v>4.48916012E-7</c:v>
                </c:pt>
                <c:pt idx="238">
                  <c:v>4.40027009E-7</c:v>
                </c:pt>
                <c:pt idx="239">
                  <c:v>4.31313993E-7</c:v>
                </c:pt>
                <c:pt idx="240">
                  <c:v>4.22774008E-7</c:v>
                </c:pt>
                <c:pt idx="241">
                  <c:v>4.14401995E-7</c:v>
                </c:pt>
                <c:pt idx="242">
                  <c:v>4.06196989E-7</c:v>
                </c:pt>
                <c:pt idx="243">
                  <c:v>3.98153986E-7</c:v>
                </c:pt>
                <c:pt idx="244">
                  <c:v>3.90270003E-7</c:v>
                </c:pt>
                <c:pt idx="245">
                  <c:v>3.82542993E-7</c:v>
                </c:pt>
                <c:pt idx="246">
                  <c:v>3.7496801E-7</c:v>
                </c:pt>
                <c:pt idx="247">
                  <c:v>3.67543009E-7</c:v>
                </c:pt>
                <c:pt idx="248">
                  <c:v>3.60266E-7</c:v>
                </c:pt>
                <c:pt idx="249">
                  <c:v>3.53132009E-7</c:v>
                </c:pt>
                <c:pt idx="250">
                  <c:v>3.46140013E-7</c:v>
                </c:pt>
                <c:pt idx="251">
                  <c:v>3.39286004E-7</c:v>
                </c:pt>
                <c:pt idx="252">
                  <c:v>3.32567993E-7</c:v>
                </c:pt>
                <c:pt idx="253">
                  <c:v>3.25982995E-7</c:v>
                </c:pt>
                <c:pt idx="254">
                  <c:v>3.19527999E-7</c:v>
                </c:pt>
                <c:pt idx="255">
                  <c:v>3.13202008E-7</c:v>
                </c:pt>
                <c:pt idx="256">
                  <c:v>3.06999993E-7</c:v>
                </c:pt>
                <c:pt idx="257">
                  <c:v>3.00920988E-7</c:v>
                </c:pt>
                <c:pt idx="258">
                  <c:v>2.94963002E-7</c:v>
                </c:pt>
                <c:pt idx="259">
                  <c:v>2.89121999E-7</c:v>
                </c:pt>
                <c:pt idx="260">
                  <c:v>2.83396986E-7</c:v>
                </c:pt>
                <c:pt idx="261">
                  <c:v>2.77786E-7</c:v>
                </c:pt>
                <c:pt idx="262">
                  <c:v>2.72286002E-7</c:v>
                </c:pt>
                <c:pt idx="263">
                  <c:v>2.66894006E-7</c:v>
                </c:pt>
                <c:pt idx="264">
                  <c:v>2.61608989E-7</c:v>
                </c:pt>
                <c:pt idx="265">
                  <c:v>2.5642899E-7</c:v>
                </c:pt>
                <c:pt idx="266">
                  <c:v>2.51351992E-7</c:v>
                </c:pt>
                <c:pt idx="267">
                  <c:v>2.46375009E-7</c:v>
                </c:pt>
                <c:pt idx="268">
                  <c:v>2.41496991E-7</c:v>
                </c:pt>
                <c:pt idx="269">
                  <c:v>2.36714996E-7</c:v>
                </c:pt>
                <c:pt idx="270">
                  <c:v>2.32028E-7</c:v>
                </c:pt>
                <c:pt idx="271">
                  <c:v>2.27433006E-7</c:v>
                </c:pt>
                <c:pt idx="272">
                  <c:v>2.22929998E-7</c:v>
                </c:pt>
                <c:pt idx="273">
                  <c:v>2.18516007E-7</c:v>
                </c:pt>
                <c:pt idx="274">
                  <c:v>2.14189001E-7</c:v>
                </c:pt>
                <c:pt idx="275">
                  <c:v>2.09947999E-7</c:v>
                </c:pt>
                <c:pt idx="276">
                  <c:v>2.05790997E-7</c:v>
                </c:pt>
                <c:pt idx="277">
                  <c:v>2.01716006E-7</c:v>
                </c:pt>
                <c:pt idx="278">
                  <c:v>1.97722002E-7</c:v>
                </c:pt>
                <c:pt idx="279">
                  <c:v>1.93806997E-7</c:v>
                </c:pt>
                <c:pt idx="280">
                  <c:v>1.89969995E-7</c:v>
                </c:pt>
                <c:pt idx="281">
                  <c:v>1.86207998E-7</c:v>
                </c:pt>
                <c:pt idx="282">
                  <c:v>1.82521006E-7</c:v>
                </c:pt>
                <c:pt idx="283">
                  <c:v>1.78907001E-7</c:v>
                </c:pt>
                <c:pt idx="284">
                  <c:v>1.75363994E-7</c:v>
                </c:pt>
                <c:pt idx="285">
                  <c:v>1.71891998E-7</c:v>
                </c:pt>
                <c:pt idx="286">
                  <c:v>1.68488995E-7</c:v>
                </c:pt>
                <c:pt idx="287">
                  <c:v>1.65152002E-7</c:v>
                </c:pt>
                <c:pt idx="288">
                  <c:v>1.61881999E-7</c:v>
                </c:pt>
                <c:pt idx="289">
                  <c:v>1.58676997E-7</c:v>
                </c:pt>
                <c:pt idx="290">
                  <c:v>1.55535005E-7</c:v>
                </c:pt>
                <c:pt idx="291">
                  <c:v>1.52455002E-7</c:v>
                </c:pt>
                <c:pt idx="292">
                  <c:v>1.49437E-7</c:v>
                </c:pt>
                <c:pt idx="293">
                  <c:v>1.46478001E-7</c:v>
                </c:pt>
                <c:pt idx="294">
                  <c:v>1.43576997E-7</c:v>
                </c:pt>
                <c:pt idx="295">
                  <c:v>1.40734002E-7</c:v>
                </c:pt>
                <c:pt idx="296">
                  <c:v>1.37948007E-7</c:v>
                </c:pt>
                <c:pt idx="297">
                  <c:v>1.35215998E-7</c:v>
                </c:pt>
                <c:pt idx="298">
                  <c:v>1.32539E-7</c:v>
                </c:pt>
                <c:pt idx="299">
                  <c:v>1.29914E-7</c:v>
                </c:pt>
                <c:pt idx="300">
                  <c:v>1.27342005E-7</c:v>
                </c:pt>
                <c:pt idx="301">
                  <c:v>1.24821E-7</c:v>
                </c:pt>
                <c:pt idx="302">
                  <c:v>1.22348993E-7</c:v>
                </c:pt>
                <c:pt idx="303">
                  <c:v>1.19926E-7</c:v>
                </c:pt>
                <c:pt idx="304">
                  <c:v>1.17551998E-7</c:v>
                </c:pt>
                <c:pt idx="305">
                  <c:v>1.15223997E-7</c:v>
                </c:pt>
                <c:pt idx="306">
                  <c:v>1.12942999E-7</c:v>
                </c:pt>
                <c:pt idx="307">
                  <c:v>1.10705997E-7</c:v>
                </c:pt>
                <c:pt idx="308">
                  <c:v>1.08514001E-7</c:v>
                </c:pt>
                <c:pt idx="309">
                  <c:v>1.06366002E-7</c:v>
                </c:pt>
                <c:pt idx="310">
                  <c:v>1.04260003E-7</c:v>
                </c:pt>
                <c:pt idx="311">
                  <c:v>1.02195003E-7</c:v>
                </c:pt>
                <c:pt idx="312">
                  <c:v>1.00172002E-7</c:v>
                </c:pt>
                <c:pt idx="313">
                  <c:v>9.81882025E-8</c:v>
                </c:pt>
                <c:pt idx="314">
                  <c:v>9.62440012E-8</c:v>
                </c:pt>
                <c:pt idx="315">
                  <c:v>9.43382972E-8</c:v>
                </c:pt>
                <c:pt idx="316">
                  <c:v>9.24703016E-8</c:v>
                </c:pt>
                <c:pt idx="317">
                  <c:v>9.0639297E-8</c:v>
                </c:pt>
                <c:pt idx="318">
                  <c:v>8.8844601E-8</c:v>
                </c:pt>
                <c:pt idx="319">
                  <c:v>8.70853967E-8</c:v>
                </c:pt>
                <c:pt idx="320">
                  <c:v>8.53611013E-8</c:v>
                </c:pt>
                <c:pt idx="321">
                  <c:v>8.36708978E-8</c:v>
                </c:pt>
                <c:pt idx="322">
                  <c:v>8.20140968E-8</c:v>
                </c:pt>
                <c:pt idx="323">
                  <c:v>8.03902012E-8</c:v>
                </c:pt>
                <c:pt idx="324">
                  <c:v>7.87984007E-8</c:v>
                </c:pt>
                <c:pt idx="325">
                  <c:v>7.72381981E-8</c:v>
                </c:pt>
                <c:pt idx="326">
                  <c:v>7.57087975E-8</c:v>
                </c:pt>
                <c:pt idx="327">
                  <c:v>7.42097015E-8</c:v>
                </c:pt>
                <c:pt idx="328">
                  <c:v>7.27402991E-8</c:v>
                </c:pt>
                <c:pt idx="329">
                  <c:v>7.13000006E-8</c:v>
                </c:pt>
                <c:pt idx="330">
                  <c:v>6.98882019E-8</c:v>
                </c:pt>
                <c:pt idx="331">
                  <c:v>6.85043986E-8</c:v>
                </c:pt>
                <c:pt idx="332">
                  <c:v>6.71479015E-8</c:v>
                </c:pt>
                <c:pt idx="333">
                  <c:v>6.58183978E-8</c:v>
                </c:pt>
                <c:pt idx="334">
                  <c:v>6.4515099E-8</c:v>
                </c:pt>
                <c:pt idx="335">
                  <c:v>6.32376995E-8</c:v>
                </c:pt>
                <c:pt idx="336">
                  <c:v>6.1985503E-8</c:v>
                </c:pt>
                <c:pt idx="337">
                  <c:v>6.07581967E-8</c:v>
                </c:pt>
                <c:pt idx="338">
                  <c:v>5.95550986E-8</c:v>
                </c:pt>
                <c:pt idx="339">
                  <c:v>5.83758997E-8</c:v>
                </c:pt>
                <c:pt idx="340">
                  <c:v>5.72199994E-8</c:v>
                </c:pt>
                <c:pt idx="341">
                  <c:v>5.60869999E-8</c:v>
                </c:pt>
                <c:pt idx="342">
                  <c:v>5.49764998E-8</c:v>
                </c:pt>
                <c:pt idx="343">
                  <c:v>5.38878986E-8</c:v>
                </c:pt>
                <c:pt idx="344">
                  <c:v>5.28209014E-8</c:v>
                </c:pt>
                <c:pt idx="345">
                  <c:v>5.17750003E-8</c:v>
                </c:pt>
                <c:pt idx="346">
                  <c:v>5.07498008E-8</c:v>
                </c:pt>
                <c:pt idx="347">
                  <c:v>4.97449015E-8</c:v>
                </c:pt>
                <c:pt idx="348">
                  <c:v>4.8759901E-8</c:v>
                </c:pt>
                <c:pt idx="349">
                  <c:v>4.77945008E-8</c:v>
                </c:pt>
                <c:pt idx="350">
                  <c:v>4.68481005E-8</c:v>
                </c:pt>
                <c:pt idx="351">
                  <c:v>4.59205012E-8</c:v>
                </c:pt>
                <c:pt idx="352">
                  <c:v>4.50111983E-8</c:v>
                </c:pt>
                <c:pt idx="353">
                  <c:v>4.41200001E-8</c:v>
                </c:pt>
                <c:pt idx="354">
                  <c:v>4.32463985E-8</c:v>
                </c:pt>
                <c:pt idx="355">
                  <c:v>4.23899991E-8</c:v>
                </c:pt>
                <c:pt idx="356">
                  <c:v>4.15506989E-8</c:v>
                </c:pt>
                <c:pt idx="357">
                  <c:v>4.07280005E-8</c:v>
                </c:pt>
                <c:pt idx="358">
                  <c:v>3.9921499E-8</c:v>
                </c:pt>
                <c:pt idx="359">
                  <c:v>3.91309989E-8</c:v>
                </c:pt>
                <c:pt idx="360">
                  <c:v>3.83562018E-8</c:v>
                </c:pt>
                <c:pt idx="361">
                  <c:v>3.75966991E-8</c:v>
                </c:pt>
                <c:pt idx="362">
                  <c:v>3.6852299E-8</c:v>
                </c:pt>
                <c:pt idx="363">
                  <c:v>3.61226E-8</c:v>
                </c:pt>
                <c:pt idx="364">
                  <c:v>3.54073997E-8</c:v>
                </c:pt>
                <c:pt idx="365">
                  <c:v>3.47063001E-8</c:v>
                </c:pt>
                <c:pt idx="366">
                  <c:v>3.40190986E-8</c:v>
                </c:pt>
                <c:pt idx="367">
                  <c:v>3.33455006E-8</c:v>
                </c:pt>
                <c:pt idx="368">
                  <c:v>3.26852003E-8</c:v>
                </c:pt>
                <c:pt idx="369">
                  <c:v>3.20379989E-8</c:v>
                </c:pt>
                <c:pt idx="370">
                  <c:v>3.14036015E-8</c:v>
                </c:pt>
                <c:pt idx="371">
                  <c:v>3.07817984E-8</c:v>
                </c:pt>
                <c:pt idx="372">
                  <c:v>3.01722984E-8</c:v>
                </c:pt>
                <c:pt idx="373">
                  <c:v>2.95749008E-8</c:v>
                </c:pt>
                <c:pt idx="374">
                  <c:v>2.89892998E-8</c:v>
                </c:pt>
                <c:pt idx="375">
                  <c:v>2.84153003E-8</c:v>
                </c:pt>
                <c:pt idx="376">
                  <c:v>2.78526002E-8</c:v>
                </c:pt>
                <c:pt idx="377">
                  <c:v>2.73011E-8</c:v>
                </c:pt>
                <c:pt idx="378">
                  <c:v>2.67606008E-8</c:v>
                </c:pt>
                <c:pt idx="379">
                  <c:v>2.62306994E-8</c:v>
                </c:pt>
                <c:pt idx="380">
                  <c:v>2.57112998E-8</c:v>
                </c:pt>
                <c:pt idx="381">
                  <c:v>2.52021994E-8</c:v>
                </c:pt>
                <c:pt idx="382">
                  <c:v>2.47031995E-8</c:v>
                </c:pt>
                <c:pt idx="383">
                  <c:v>2.42139997E-8</c:v>
                </c:pt>
                <c:pt idx="384">
                  <c:v>2.37346001E-8</c:v>
                </c:pt>
                <c:pt idx="385">
                  <c:v>2.32645991E-8</c:v>
                </c:pt>
                <c:pt idx="386">
                  <c:v>2.28040005E-8</c:v>
                </c:pt>
                <c:pt idx="387">
                  <c:v>2.23524008E-8</c:v>
                </c:pt>
                <c:pt idx="388">
                  <c:v>2.19098002E-8</c:v>
                </c:pt>
                <c:pt idx="389">
                  <c:v>2.14759996E-8</c:v>
                </c:pt>
                <c:pt idx="390">
                  <c:v>2.10508002E-8</c:v>
                </c:pt>
                <c:pt idx="391">
                  <c:v>2.06338999E-8</c:v>
                </c:pt>
                <c:pt idx="392">
                  <c:v>2.02254E-8</c:v>
                </c:pt>
                <c:pt idx="393">
                  <c:v>1.98249008E-8</c:v>
                </c:pt>
                <c:pt idx="394">
                  <c:v>1.94324006E-8</c:v>
                </c:pt>
                <c:pt idx="395">
                  <c:v>1.90476008E-8</c:v>
                </c:pt>
                <c:pt idx="396">
                  <c:v>1.86704003E-8</c:v>
                </c:pt>
                <c:pt idx="397">
                  <c:v>1.83006996E-8</c:v>
                </c:pt>
                <c:pt idx="398">
                  <c:v>1.79383992E-8</c:v>
                </c:pt>
                <c:pt idx="399">
                  <c:v>1.75832007E-8</c:v>
                </c:pt>
                <c:pt idx="400">
                  <c:v>1.72349992E-8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476184"/>
        <c:axId val="2085485784"/>
      </c:scatterChart>
      <c:valAx>
        <c:axId val="2085476184"/>
        <c:scaling>
          <c:orientation val="minMax"/>
          <c:max val="4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 (s)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2085485784"/>
        <c:crosses val="autoZero"/>
        <c:crossBetween val="midCat"/>
      </c:valAx>
      <c:valAx>
        <c:axId val="2085485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 (m)</a:t>
                </a:r>
              </a:p>
            </c:rich>
          </c:tx>
          <c:layout/>
          <c:overlay val="0"/>
        </c:title>
        <c:numFmt formatCode="0.0E+00" sourceLinked="0"/>
        <c:majorTickMark val="out"/>
        <c:minorTickMark val="none"/>
        <c:tickLblPos val="nextTo"/>
        <c:crossAx val="20854761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90202160776414"/>
          <c:y val="0.408333032141474"/>
          <c:w val="0.219149606299213"/>
          <c:h val="0.196891307704184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0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ViscoBeamStc_1" connectionId="4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ViscoBeamDyn_1" connectionId="1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ViscoBeamStc" connectionId="3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4" Type="http://schemas.openxmlformats.org/officeDocument/2006/relationships/queryTable" Target="../queryTables/queryTable3.xml"/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1"/>
  <sheetViews>
    <sheetView tabSelected="1" workbookViewId="0">
      <selection activeCell="F15" sqref="F15"/>
    </sheetView>
  </sheetViews>
  <sheetFormatPr baseColWidth="10" defaultRowHeight="15" x14ac:dyDescent="0"/>
  <cols>
    <col min="2" max="2" width="12.1640625" bestFit="1" customWidth="1"/>
    <col min="4" max="4" width="11.5" customWidth="1"/>
    <col min="10" max="11" width="8.83203125" customWidth="1"/>
  </cols>
  <sheetData>
    <row r="1" spans="1:5">
      <c r="A1" s="11" t="s">
        <v>3</v>
      </c>
      <c r="B1" s="4">
        <v>1</v>
      </c>
      <c r="C1" s="24" t="s">
        <v>13</v>
      </c>
      <c r="D1" s="19">
        <f xml:space="preserve"> B1*B2/(B3*B4)</f>
        <v>1</v>
      </c>
      <c r="E1" s="19"/>
    </row>
    <row r="2" spans="1:5">
      <c r="A2" s="12" t="s">
        <v>0</v>
      </c>
      <c r="B2" s="3">
        <v>1</v>
      </c>
      <c r="C2" s="20"/>
      <c r="D2" s="21"/>
      <c r="E2" s="19"/>
    </row>
    <row r="3" spans="1:5">
      <c r="A3" s="12" t="s">
        <v>1</v>
      </c>
      <c r="B3" s="3">
        <v>1</v>
      </c>
      <c r="C3" s="14"/>
      <c r="D3" s="21"/>
      <c r="E3" s="19"/>
    </row>
    <row r="4" spans="1:5" ht="16" thickBot="1">
      <c r="A4" s="12" t="s">
        <v>2</v>
      </c>
      <c r="B4" s="3">
        <v>1</v>
      </c>
      <c r="C4" s="14"/>
      <c r="D4" s="21"/>
      <c r="E4" s="19"/>
    </row>
    <row r="5" spans="1:5">
      <c r="A5" s="11" t="s">
        <v>8</v>
      </c>
      <c r="B5" s="1">
        <v>100000</v>
      </c>
      <c r="C5" s="19"/>
      <c r="D5" s="19"/>
      <c r="E5" s="19"/>
    </row>
    <row r="6" spans="1:5">
      <c r="A6" s="12" t="s">
        <v>5</v>
      </c>
      <c r="B6" s="2">
        <v>400000</v>
      </c>
    </row>
    <row r="7" spans="1:5" ht="16" thickBot="1">
      <c r="A7" s="12" t="s">
        <v>6</v>
      </c>
      <c r="B7" s="3">
        <v>1</v>
      </c>
    </row>
    <row r="8" spans="1:5">
      <c r="A8" s="11" t="s">
        <v>4</v>
      </c>
      <c r="B8" s="22">
        <f>B5+B6</f>
        <v>500000</v>
      </c>
    </row>
    <row r="9" spans="1:5">
      <c r="A9" s="12" t="s">
        <v>7</v>
      </c>
      <c r="B9" s="5">
        <f>1/B8</f>
        <v>1.9999999999999999E-6</v>
      </c>
    </row>
    <row r="10" spans="1:5">
      <c r="A10" s="12" t="s">
        <v>9</v>
      </c>
      <c r="B10" s="5">
        <f>(1/B5-1/B8)</f>
        <v>8.0000000000000013E-6</v>
      </c>
    </row>
    <row r="11" spans="1:5" ht="16" thickBot="1">
      <c r="A11" s="13" t="s">
        <v>10</v>
      </c>
      <c r="B11" s="6">
        <f>B8*B7/B5</f>
        <v>5</v>
      </c>
    </row>
    <row r="12" spans="1:5">
      <c r="A12" s="11" t="s">
        <v>17</v>
      </c>
      <c r="B12" s="4">
        <v>0</v>
      </c>
    </row>
    <row r="13" spans="1:5" ht="16" thickBot="1">
      <c r="A13" s="36" t="s">
        <v>18</v>
      </c>
      <c r="B13" s="15">
        <v>10</v>
      </c>
    </row>
    <row r="14" spans="1:5">
      <c r="A14" s="25" t="s">
        <v>19</v>
      </c>
      <c r="B14" s="19" t="s">
        <v>19</v>
      </c>
    </row>
    <row r="15" spans="1:5">
      <c r="A15" s="19"/>
      <c r="B15" s="19"/>
    </row>
    <row r="16" spans="1:5">
      <c r="A16" s="19"/>
      <c r="B16" s="19"/>
    </row>
    <row r="19" spans="1:5" ht="16" thickBot="1">
      <c r="E19" s="23" t="s">
        <v>16</v>
      </c>
    </row>
    <row r="20" spans="1:5" ht="16" thickBot="1">
      <c r="A20" s="26" t="s">
        <v>11</v>
      </c>
      <c r="B20" s="27" t="s">
        <v>12</v>
      </c>
      <c r="C20" s="28" t="s">
        <v>14</v>
      </c>
      <c r="D20" s="34" t="s">
        <v>11</v>
      </c>
      <c r="E20" s="35" t="s">
        <v>15</v>
      </c>
    </row>
    <row r="21" spans="1:5">
      <c r="A21" s="29">
        <v>0</v>
      </c>
      <c r="B21" s="30">
        <f t="shared" ref="B21:B84" si="0">B$9 + B$10*(1 - EXP(-A21/B$11))</f>
        <v>1.9999999999999999E-6</v>
      </c>
      <c r="C21" s="32">
        <f>D$1*B21</f>
        <v>1.9999999999999999E-6</v>
      </c>
      <c r="D21" s="29">
        <v>0</v>
      </c>
      <c r="E21" s="31">
        <v>0</v>
      </c>
    </row>
    <row r="22" spans="1:5">
      <c r="A22" s="17">
        <v>0.10000000100000001</v>
      </c>
      <c r="B22" s="7">
        <f t="shared" si="0"/>
        <v>2.1584106151142758E-6</v>
      </c>
      <c r="C22" s="16">
        <f t="shared" ref="C22:C85" si="1">D$1*B22</f>
        <v>2.1584106151142758E-6</v>
      </c>
      <c r="D22" s="17">
        <v>0.10000000100000001</v>
      </c>
      <c r="E22" s="8">
        <v>2.1193300199999998E-6</v>
      </c>
    </row>
    <row r="23" spans="1:5">
      <c r="A23" s="17">
        <v>0.20000000300000001</v>
      </c>
      <c r="B23" s="7">
        <f t="shared" si="0"/>
        <v>2.3136844913932039E-6</v>
      </c>
      <c r="C23" s="16">
        <f t="shared" si="1"/>
        <v>2.3136844913932039E-6</v>
      </c>
      <c r="D23" s="17">
        <v>0.20000000300000001</v>
      </c>
      <c r="E23" s="8">
        <v>2.2753699799999998E-6</v>
      </c>
    </row>
    <row r="24" spans="1:5">
      <c r="A24" s="17">
        <v>0.30000001199999998</v>
      </c>
      <c r="B24" s="7">
        <f t="shared" si="0"/>
        <v>2.4658837494078893E-6</v>
      </c>
      <c r="C24" s="16">
        <f t="shared" si="1"/>
        <v>2.4658837494078893E-6</v>
      </c>
      <c r="D24" s="17">
        <v>0.30000001199999998</v>
      </c>
      <c r="E24" s="8">
        <v>2.4283299399999999E-6</v>
      </c>
    </row>
    <row r="25" spans="1:5">
      <c r="A25" s="17">
        <v>0.40000000600000002</v>
      </c>
      <c r="B25" s="7">
        <f t="shared" si="0"/>
        <v>2.6150692377688305E-6</v>
      </c>
      <c r="C25" s="16">
        <f t="shared" si="1"/>
        <v>2.6150692377688305E-6</v>
      </c>
      <c r="D25" s="17">
        <v>0.40000000600000002</v>
      </c>
      <c r="E25" s="8">
        <v>2.5782499100000001E-6</v>
      </c>
    </row>
    <row r="26" spans="1:5">
      <c r="A26" s="17">
        <v>0.5</v>
      </c>
      <c r="B26" s="7">
        <f t="shared" si="0"/>
        <v>2.7613006557123239E-6</v>
      </c>
      <c r="C26" s="16">
        <f t="shared" si="1"/>
        <v>2.7613006557123239E-6</v>
      </c>
      <c r="D26" s="17">
        <v>0.5</v>
      </c>
      <c r="E26" s="8">
        <v>2.7252099200000002E-6</v>
      </c>
    </row>
    <row r="27" spans="1:5">
      <c r="A27" s="17">
        <v>0.60000002399999997</v>
      </c>
      <c r="B27" s="7">
        <f t="shared" si="0"/>
        <v>2.9046365403204843E-6</v>
      </c>
      <c r="C27" s="16">
        <f t="shared" si="1"/>
        <v>2.9046365403204843E-6</v>
      </c>
      <c r="D27" s="17">
        <v>0.60000002399999997</v>
      </c>
      <c r="E27" s="8">
        <v>2.8692500099999999E-6</v>
      </c>
    </row>
    <row r="28" spans="1:5">
      <c r="A28" s="17">
        <v>0.69999998799999996</v>
      </c>
      <c r="B28" s="7">
        <f t="shared" si="0"/>
        <v>3.0451341001178751E-6</v>
      </c>
      <c r="C28" s="16">
        <f t="shared" si="1"/>
        <v>3.0451341001178751E-6</v>
      </c>
      <c r="D28" s="17">
        <v>0.69999998799999996</v>
      </c>
      <c r="E28" s="8">
        <v>3.0104499699999998E-6</v>
      </c>
    </row>
    <row r="29" spans="1:5">
      <c r="A29" s="17">
        <v>0.80000001200000004</v>
      </c>
      <c r="B29" s="7">
        <f t="shared" si="0"/>
        <v>3.18284970463147E-6</v>
      </c>
      <c r="C29" s="16">
        <f t="shared" si="1"/>
        <v>3.18284970463147E-6</v>
      </c>
      <c r="D29" s="17">
        <v>0.80000001200000004</v>
      </c>
      <c r="E29" s="8">
        <v>3.14884005E-6</v>
      </c>
    </row>
    <row r="30" spans="1:5">
      <c r="A30" s="17">
        <v>0.89999997600000003</v>
      </c>
      <c r="B30" s="7">
        <f t="shared" si="0"/>
        <v>3.3178382766354481E-6</v>
      </c>
      <c r="C30" s="16">
        <f t="shared" si="1"/>
        <v>3.3178382766354481E-6</v>
      </c>
      <c r="D30" s="17">
        <v>0.89999997600000003</v>
      </c>
      <c r="E30" s="8">
        <v>3.28450005E-6</v>
      </c>
    </row>
    <row r="31" spans="1:5">
      <c r="A31" s="17">
        <v>1</v>
      </c>
      <c r="B31" s="7">
        <f t="shared" si="0"/>
        <v>3.4501539753761453E-6</v>
      </c>
      <c r="C31" s="16">
        <f t="shared" si="1"/>
        <v>3.4501539753761453E-6</v>
      </c>
      <c r="D31" s="17">
        <v>1</v>
      </c>
      <c r="E31" s="8">
        <v>3.4174699999999999E-6</v>
      </c>
    </row>
    <row r="32" spans="1:5">
      <c r="A32" s="17">
        <v>1.10000002</v>
      </c>
      <c r="B32" s="7">
        <f t="shared" si="0"/>
        <v>3.5798496419807739E-6</v>
      </c>
      <c r="C32" s="16">
        <f t="shared" si="1"/>
        <v>3.5798496419807739E-6</v>
      </c>
      <c r="D32" s="17">
        <v>1.10000002</v>
      </c>
      <c r="E32" s="8">
        <v>3.5478099099999999E-6</v>
      </c>
    </row>
    <row r="33" spans="1:5">
      <c r="A33" s="17">
        <v>1.2000000500000001</v>
      </c>
      <c r="B33" s="7">
        <f t="shared" si="0"/>
        <v>3.7069771743978012E-6</v>
      </c>
      <c r="C33" s="16">
        <f t="shared" si="1"/>
        <v>3.7069771743978012E-6</v>
      </c>
      <c r="D33" s="17">
        <v>1.2000000500000001</v>
      </c>
      <c r="E33" s="8">
        <v>3.6755700400000002E-6</v>
      </c>
    </row>
    <row r="34" spans="1:5">
      <c r="A34" s="17">
        <v>1.2999999499999999</v>
      </c>
      <c r="B34" s="7">
        <f t="shared" si="0"/>
        <v>3.8315872518873419E-6</v>
      </c>
      <c r="C34" s="16">
        <f t="shared" si="1"/>
        <v>3.8315872518873419E-6</v>
      </c>
      <c r="D34" s="17">
        <v>1.2999999499999999</v>
      </c>
      <c r="E34" s="8">
        <v>3.80079996E-6</v>
      </c>
    </row>
    <row r="35" spans="1:5">
      <c r="A35" s="17">
        <v>1.39999998</v>
      </c>
      <c r="B35" s="7">
        <f t="shared" si="0"/>
        <v>3.953730044169117E-6</v>
      </c>
      <c r="C35" s="16">
        <f t="shared" si="1"/>
        <v>3.953730044169117E-6</v>
      </c>
      <c r="D35" s="17">
        <v>1.39999998</v>
      </c>
      <c r="E35" s="8">
        <v>3.9235401300000003E-6</v>
      </c>
    </row>
    <row r="36" spans="1:5">
      <c r="A36" s="17">
        <v>1.5</v>
      </c>
      <c r="B36" s="7">
        <f t="shared" si="0"/>
        <v>4.0734542345462573E-6</v>
      </c>
      <c r="C36" s="16">
        <f t="shared" si="1"/>
        <v>4.0734542345462573E-6</v>
      </c>
      <c r="D36" s="17">
        <v>1.5</v>
      </c>
      <c r="E36" s="8">
        <v>4.0438599199999998E-6</v>
      </c>
    </row>
    <row r="37" spans="1:5">
      <c r="A37" s="17">
        <v>1.60000002</v>
      </c>
      <c r="B37" s="7">
        <f t="shared" si="0"/>
        <v>4.1908077266472416E-6</v>
      </c>
      <c r="C37" s="16">
        <f t="shared" si="1"/>
        <v>4.1908077266472416E-6</v>
      </c>
      <c r="D37" s="17">
        <v>1.60000002</v>
      </c>
      <c r="E37" s="8">
        <v>4.1618000100000004E-6</v>
      </c>
    </row>
    <row r="38" spans="1:5">
      <c r="A38" s="17">
        <v>1.7000000500000001</v>
      </c>
      <c r="B38" s="7">
        <f t="shared" si="0"/>
        <v>4.3058374748407477E-6</v>
      </c>
      <c r="C38" s="16">
        <f t="shared" si="1"/>
        <v>4.3058374748407477E-6</v>
      </c>
      <c r="D38" s="17">
        <v>1.7000000500000001</v>
      </c>
      <c r="E38" s="8">
        <v>4.2773999699999996E-6</v>
      </c>
    </row>
    <row r="39" spans="1:5">
      <c r="A39" s="17">
        <v>1.7999999499999999</v>
      </c>
      <c r="B39" s="7">
        <f t="shared" si="0"/>
        <v>4.4185893356176457E-6</v>
      </c>
      <c r="C39" s="16">
        <f t="shared" si="1"/>
        <v>4.4185893356176457E-6</v>
      </c>
      <c r="D39" s="17">
        <v>1.7999999499999999</v>
      </c>
      <c r="E39" s="8">
        <v>4.3907098199999998E-6</v>
      </c>
    </row>
    <row r="40" spans="1:5">
      <c r="A40" s="17">
        <v>1.89999998</v>
      </c>
      <c r="B40" s="7">
        <f t="shared" si="0"/>
        <v>4.5291087044175887E-6</v>
      </c>
      <c r="C40" s="16">
        <f t="shared" si="1"/>
        <v>4.5291087044175887E-6</v>
      </c>
      <c r="D40" s="17">
        <v>1.89999998</v>
      </c>
      <c r="E40" s="8">
        <v>4.5017800400000003E-6</v>
      </c>
    </row>
    <row r="41" spans="1:5">
      <c r="A41" s="17">
        <v>2</v>
      </c>
      <c r="B41" s="7">
        <f t="shared" si="0"/>
        <v>4.6374396317148858E-6</v>
      </c>
      <c r="C41" s="16">
        <f t="shared" si="1"/>
        <v>4.6374396317148858E-6</v>
      </c>
      <c r="D41" s="17">
        <v>2</v>
      </c>
      <c r="E41" s="8">
        <v>4.6106501899999997E-6</v>
      </c>
    </row>
    <row r="42" spans="1:5">
      <c r="A42" s="17">
        <v>2.0999998999999998</v>
      </c>
      <c r="B42" s="7">
        <f t="shared" si="0"/>
        <v>4.7436253363520534E-6</v>
      </c>
      <c r="C42" s="16">
        <f t="shared" si="1"/>
        <v>4.7436253363520534E-6</v>
      </c>
      <c r="D42" s="17">
        <v>2.0999998999999998</v>
      </c>
      <c r="E42" s="8">
        <v>4.7173598399999999E-6</v>
      </c>
    </row>
    <row r="43" spans="1:5">
      <c r="A43" s="17">
        <v>2.2000000499999999</v>
      </c>
      <c r="B43" s="7">
        <f t="shared" si="0"/>
        <v>4.8477086828577836E-6</v>
      </c>
      <c r="C43" s="16">
        <f t="shared" si="1"/>
        <v>4.8477086828577836E-6</v>
      </c>
      <c r="D43" s="17">
        <v>2.2000000499999999</v>
      </c>
      <c r="E43" s="8">
        <v>4.82195992E-6</v>
      </c>
    </row>
    <row r="44" spans="1:5">
      <c r="A44" s="17">
        <v>2.2999999500000001</v>
      </c>
      <c r="B44" s="7">
        <f t="shared" si="0"/>
        <v>4.9497307854419009E-6</v>
      </c>
      <c r="C44" s="16">
        <f t="shared" si="1"/>
        <v>4.9497307854419009E-6</v>
      </c>
      <c r="D44" s="17">
        <v>2.2999999500000001</v>
      </c>
      <c r="E44" s="8">
        <v>4.9244899900000004E-6</v>
      </c>
    </row>
    <row r="45" spans="1:5">
      <c r="A45" s="17">
        <v>2.4000001000000002</v>
      </c>
      <c r="B45" s="7">
        <f t="shared" si="0"/>
        <v>5.049732964556215E-6</v>
      </c>
      <c r="C45" s="16">
        <f t="shared" si="1"/>
        <v>5.049732964556215E-6</v>
      </c>
      <c r="D45" s="17">
        <v>2.4000001000000002</v>
      </c>
      <c r="E45" s="8">
        <v>5.0249900600000001E-6</v>
      </c>
    </row>
    <row r="46" spans="1:5">
      <c r="A46" s="17">
        <v>2.5</v>
      </c>
      <c r="B46" s="7">
        <f t="shared" si="0"/>
        <v>5.1477547222989331E-6</v>
      </c>
      <c r="C46" s="16">
        <f t="shared" si="1"/>
        <v>5.1477547222989331E-6</v>
      </c>
      <c r="D46" s="17">
        <v>2.5</v>
      </c>
      <c r="E46" s="8">
        <v>5.1234901500000002E-6</v>
      </c>
    </row>
    <row r="47" spans="1:5">
      <c r="A47" s="17">
        <v>2.5999998999999998</v>
      </c>
      <c r="B47" s="7">
        <f t="shared" si="0"/>
        <v>5.2438355211151568E-6</v>
      </c>
      <c r="C47" s="16">
        <f t="shared" si="1"/>
        <v>5.2438355211151568E-6</v>
      </c>
      <c r="D47" s="17">
        <v>2.5999998999999998</v>
      </c>
      <c r="E47" s="8">
        <v>5.2200498400000004E-6</v>
      </c>
    </row>
    <row r="48" spans="1:5">
      <c r="A48" s="17">
        <v>2.7000000499999999</v>
      </c>
      <c r="B48" s="7">
        <f t="shared" si="0"/>
        <v>5.3380140276279434E-6</v>
      </c>
      <c r="C48" s="16">
        <f t="shared" si="1"/>
        <v>5.3380140276279434E-6</v>
      </c>
      <c r="D48" s="17">
        <v>2.7000000499999999</v>
      </c>
      <c r="E48" s="8">
        <v>5.3147000500000001E-6</v>
      </c>
    </row>
    <row r="49" spans="1:5">
      <c r="A49" s="17">
        <v>2.7999999500000001</v>
      </c>
      <c r="B49" s="7">
        <f t="shared" si="0"/>
        <v>5.4303274435127565E-6</v>
      </c>
      <c r="C49" s="16">
        <f t="shared" si="1"/>
        <v>5.4303274435127565E-6</v>
      </c>
      <c r="D49" s="17">
        <v>2.7999999500000001</v>
      </c>
      <c r="E49" s="8">
        <v>5.4074698699999997E-6</v>
      </c>
    </row>
    <row r="50" spans="1:5">
      <c r="A50" s="17">
        <v>2.9000001000000002</v>
      </c>
      <c r="B50" s="7">
        <f t="shared" si="0"/>
        <v>5.5208131570605221E-6</v>
      </c>
      <c r="C50" s="16">
        <f t="shared" si="1"/>
        <v>5.5208131570605221E-6</v>
      </c>
      <c r="D50" s="17">
        <v>2.9000001000000002</v>
      </c>
      <c r="E50" s="8">
        <v>5.4984097899999999E-6</v>
      </c>
    </row>
    <row r="51" spans="1:5">
      <c r="A51" s="17">
        <v>3</v>
      </c>
      <c r="B51" s="7">
        <f t="shared" si="0"/>
        <v>5.6095069112477898E-6</v>
      </c>
      <c r="C51" s="16">
        <f t="shared" si="1"/>
        <v>5.6095069112477898E-6</v>
      </c>
      <c r="D51" s="17">
        <v>3</v>
      </c>
      <c r="E51" s="8">
        <v>5.5875398200000003E-6</v>
      </c>
    </row>
    <row r="52" spans="1:5">
      <c r="A52" s="17">
        <v>3.0999998999999998</v>
      </c>
      <c r="B52" s="7">
        <f t="shared" si="0"/>
        <v>5.6964444131714931E-6</v>
      </c>
      <c r="C52" s="16">
        <f t="shared" si="1"/>
        <v>5.6964444131714931E-6</v>
      </c>
      <c r="D52" s="17">
        <v>3.0999998999999998</v>
      </c>
      <c r="E52" s="8">
        <v>5.67490997E-6</v>
      </c>
    </row>
    <row r="53" spans="1:5">
      <c r="A53" s="17">
        <v>3.2000000499999999</v>
      </c>
      <c r="B53" s="7">
        <f t="shared" si="0"/>
        <v>5.7816606498390064E-6</v>
      </c>
      <c r="C53" s="16">
        <f t="shared" si="1"/>
        <v>5.7816606498390064E-6</v>
      </c>
      <c r="D53" s="17">
        <v>3.2000000499999999</v>
      </c>
      <c r="E53" s="8">
        <v>5.7605498100000002E-6</v>
      </c>
    </row>
    <row r="54" spans="1:5">
      <c r="A54" s="17">
        <v>3.2999999500000001</v>
      </c>
      <c r="B54" s="7">
        <f t="shared" si="0"/>
        <v>5.8651892827182992E-6</v>
      </c>
      <c r="C54" s="16">
        <f t="shared" si="1"/>
        <v>5.8651892827182992E-6</v>
      </c>
      <c r="D54" s="17">
        <v>3.2999999500000001</v>
      </c>
      <c r="E54" s="8">
        <v>5.8444898099999998E-6</v>
      </c>
    </row>
    <row r="55" spans="1:5">
      <c r="A55" s="17">
        <v>3.4000001000000002</v>
      </c>
      <c r="B55" s="7">
        <f t="shared" si="0"/>
        <v>5.9470641421340014E-6</v>
      </c>
      <c r="C55" s="16">
        <f t="shared" si="1"/>
        <v>5.9470641421340014E-6</v>
      </c>
      <c r="D55" s="17">
        <v>3.4000001000000002</v>
      </c>
      <c r="E55" s="8">
        <v>5.9267799800000004E-6</v>
      </c>
    </row>
    <row r="56" spans="1:5">
      <c r="A56" s="17">
        <v>3.5</v>
      </c>
      <c r="B56" s="7">
        <f t="shared" si="0"/>
        <v>6.0273175696687244E-6</v>
      </c>
      <c r="C56" s="16">
        <f t="shared" si="1"/>
        <v>6.0273175696687244E-6</v>
      </c>
      <c r="D56" s="17">
        <v>3.5</v>
      </c>
      <c r="E56" s="8">
        <v>6.0074298699999996E-6</v>
      </c>
    </row>
    <row r="57" spans="1:5">
      <c r="A57" s="17">
        <v>3.5999998999999998</v>
      </c>
      <c r="B57" s="7">
        <f t="shared" si="0"/>
        <v>6.1059818744398657E-6</v>
      </c>
      <c r="C57" s="16">
        <f t="shared" si="1"/>
        <v>6.1059818744398657E-6</v>
      </c>
      <c r="D57" s="17">
        <v>3.5999998999999998</v>
      </c>
      <c r="E57" s="8">
        <v>6.0864799700000001E-6</v>
      </c>
    </row>
    <row r="58" spans="1:5">
      <c r="A58" s="17">
        <v>3.7000000499999999</v>
      </c>
      <c r="B58" s="7">
        <f t="shared" si="0"/>
        <v>6.1830887140008382E-6</v>
      </c>
      <c r="C58" s="16">
        <f t="shared" si="1"/>
        <v>6.1830887140008382E-6</v>
      </c>
      <c r="D58" s="17">
        <v>3.7000000499999999</v>
      </c>
      <c r="E58" s="8">
        <v>6.1639698299999998E-6</v>
      </c>
    </row>
    <row r="59" spans="1:5">
      <c r="A59" s="17">
        <v>3.7999999500000001</v>
      </c>
      <c r="B59" s="7">
        <f t="shared" si="0"/>
        <v>6.2586685465074133E-6</v>
      </c>
      <c r="C59" s="16">
        <f t="shared" si="1"/>
        <v>6.2586685465074133E-6</v>
      </c>
      <c r="D59" s="17">
        <v>3.7999999500000001</v>
      </c>
      <c r="E59" s="8">
        <v>6.2399299200000003E-6</v>
      </c>
    </row>
    <row r="60" spans="1:5">
      <c r="A60" s="17">
        <v>3.9000001000000002</v>
      </c>
      <c r="B60" s="7">
        <f t="shared" si="0"/>
        <v>6.332751982903172E-6</v>
      </c>
      <c r="C60" s="16">
        <f t="shared" si="1"/>
        <v>6.332751982903172E-6</v>
      </c>
      <c r="D60" s="17">
        <v>3.9000001000000002</v>
      </c>
      <c r="E60" s="8">
        <v>6.3143797899999998E-6</v>
      </c>
    </row>
    <row r="61" spans="1:5">
      <c r="A61" s="17">
        <v>4</v>
      </c>
      <c r="B61" s="7">
        <f t="shared" si="0"/>
        <v>6.4053682870622277E-6</v>
      </c>
      <c r="C61" s="16">
        <f t="shared" si="1"/>
        <v>6.4053682870622277E-6</v>
      </c>
      <c r="D61" s="17">
        <v>4</v>
      </c>
      <c r="E61" s="8">
        <v>6.3873599200000003E-6</v>
      </c>
    </row>
    <row r="62" spans="1:5">
      <c r="A62" s="17">
        <v>4.0999999000000003</v>
      </c>
      <c r="B62" s="7">
        <f t="shared" si="0"/>
        <v>6.4765466934829422E-6</v>
      </c>
      <c r="C62" s="16">
        <f t="shared" si="1"/>
        <v>6.4765466934829422E-6</v>
      </c>
      <c r="D62" s="17">
        <v>4.0999999000000003</v>
      </c>
      <c r="E62" s="8">
        <v>6.4588898600000002E-6</v>
      </c>
    </row>
    <row r="63" spans="1:5">
      <c r="A63" s="17">
        <v>4.1999998099999996</v>
      </c>
      <c r="B63" s="7">
        <f t="shared" si="0"/>
        <v>6.5463156813273612E-6</v>
      </c>
      <c r="C63" s="16">
        <f t="shared" si="1"/>
        <v>6.5463156813273612E-6</v>
      </c>
      <c r="D63" s="17">
        <v>4.1999998099999996</v>
      </c>
      <c r="E63" s="8">
        <v>6.5290100799999998E-6</v>
      </c>
    </row>
    <row r="64" spans="1:5">
      <c r="A64" s="17">
        <v>4.3000001900000004</v>
      </c>
      <c r="B64" s="7">
        <f t="shared" si="0"/>
        <v>6.6147034700992821E-6</v>
      </c>
      <c r="C64" s="16">
        <f t="shared" si="1"/>
        <v>6.6147034700992821E-6</v>
      </c>
      <c r="D64" s="17">
        <v>4.3000001900000004</v>
      </c>
      <c r="E64" s="8">
        <v>6.5977401399999999E-6</v>
      </c>
    </row>
    <row r="65" spans="1:5">
      <c r="A65" s="17">
        <v>4.4000000999999997</v>
      </c>
      <c r="B65" s="7">
        <f t="shared" si="0"/>
        <v>6.6817367729126152E-6</v>
      </c>
      <c r="C65" s="16">
        <f t="shared" si="1"/>
        <v>6.6817367729126152E-6</v>
      </c>
      <c r="D65" s="17">
        <v>4.4000000999999997</v>
      </c>
      <c r="E65" s="8">
        <v>6.6651000499999999E-6</v>
      </c>
    </row>
    <row r="66" spans="1:5">
      <c r="A66" s="17">
        <v>4.5</v>
      </c>
      <c r="B66" s="7">
        <f t="shared" si="0"/>
        <v>6.7474427220752086E-6</v>
      </c>
      <c r="C66" s="16">
        <f t="shared" si="1"/>
        <v>6.7474427220752086E-6</v>
      </c>
      <c r="D66" s="17">
        <v>4.5</v>
      </c>
      <c r="E66" s="8">
        <v>6.7311398199999998E-6</v>
      </c>
    </row>
    <row r="67" spans="1:5">
      <c r="A67" s="17">
        <v>4.5999999000000003</v>
      </c>
      <c r="B67" s="7">
        <f t="shared" si="0"/>
        <v>6.8118476075608393E-6</v>
      </c>
      <c r="C67" s="16">
        <f t="shared" si="1"/>
        <v>6.8118476075608393E-6</v>
      </c>
      <c r="D67" s="17">
        <v>4.5999999000000003</v>
      </c>
      <c r="E67" s="8">
        <v>6.7958599199999999E-6</v>
      </c>
    </row>
    <row r="68" spans="1:5">
      <c r="A68" s="17">
        <v>4.6999998099999996</v>
      </c>
      <c r="B68" s="7">
        <f t="shared" si="0"/>
        <v>6.8749771983809674E-6</v>
      </c>
      <c r="C68" s="16">
        <f t="shared" si="1"/>
        <v>6.8749771983809674E-6</v>
      </c>
      <c r="D68" s="17">
        <v>4.6999998099999996</v>
      </c>
      <c r="E68" s="8">
        <v>6.8593099100000003E-6</v>
      </c>
    </row>
    <row r="69" spans="1:5">
      <c r="A69" s="17">
        <v>4.8000001900000004</v>
      </c>
      <c r="B69" s="7">
        <f t="shared" si="0"/>
        <v>6.9368570285985397E-6</v>
      </c>
      <c r="C69" s="16">
        <f t="shared" si="1"/>
        <v>6.9368570285985397E-6</v>
      </c>
      <c r="D69" s="17">
        <v>4.8000001900000004</v>
      </c>
      <c r="E69" s="8">
        <v>6.9214897800000003E-6</v>
      </c>
    </row>
    <row r="70" spans="1:5">
      <c r="A70" s="17">
        <v>4.9000000999999997</v>
      </c>
      <c r="B70" s="7">
        <f t="shared" si="0"/>
        <v>6.9975112692385791E-6</v>
      </c>
      <c r="C70" s="16">
        <f t="shared" si="1"/>
        <v>6.9975112692385791E-6</v>
      </c>
      <c r="D70" s="17">
        <v>4.9000000999999997</v>
      </c>
      <c r="E70" s="8">
        <v>6.9824500299999998E-6</v>
      </c>
    </row>
    <row r="71" spans="1:5">
      <c r="A71" s="17">
        <v>5</v>
      </c>
      <c r="B71" s="7">
        <f t="shared" si="0"/>
        <v>7.0569644706284616E-6</v>
      </c>
      <c r="C71" s="16">
        <f t="shared" si="1"/>
        <v>7.0569644706284616E-6</v>
      </c>
      <c r="D71" s="17">
        <v>5</v>
      </c>
      <c r="E71" s="8">
        <v>7.0422002E-6</v>
      </c>
    </row>
    <row r="72" spans="1:5">
      <c r="A72" s="17">
        <v>5.0999999000000003</v>
      </c>
      <c r="B72" s="7">
        <f t="shared" si="0"/>
        <v>7.1152404209201841E-6</v>
      </c>
      <c r="C72" s="16">
        <f t="shared" si="1"/>
        <v>7.1152404209201841E-6</v>
      </c>
      <c r="D72" s="17">
        <v>5.0999999000000003</v>
      </c>
      <c r="E72" s="8">
        <v>7.1007698399999997E-6</v>
      </c>
    </row>
    <row r="73" spans="1:5">
      <c r="A73" s="17">
        <v>5.1999998099999996</v>
      </c>
      <c r="B73" s="7">
        <f t="shared" si="0"/>
        <v>7.1723624368795334E-6</v>
      </c>
      <c r="C73" s="16">
        <f t="shared" si="1"/>
        <v>7.1723624368795334E-6</v>
      </c>
      <c r="D73" s="17">
        <v>5.1999998099999996</v>
      </c>
      <c r="E73" s="8">
        <v>7.1581698599999999E-6</v>
      </c>
    </row>
    <row r="74" spans="1:5">
      <c r="A74" s="17">
        <v>5.3000001900000004</v>
      </c>
      <c r="B74" s="7">
        <f t="shared" si="0"/>
        <v>7.2283536226821053E-6</v>
      </c>
      <c r="C74" s="16">
        <f t="shared" si="1"/>
        <v>7.2283536226821053E-6</v>
      </c>
      <c r="D74" s="17">
        <v>5.3000001900000004</v>
      </c>
      <c r="E74" s="8">
        <v>7.2144398500000003E-6</v>
      </c>
    </row>
    <row r="75" spans="1:5">
      <c r="A75" s="17">
        <v>5.4000000999999997</v>
      </c>
      <c r="B75" s="7">
        <f t="shared" si="0"/>
        <v>7.2832358491757703E-6</v>
      </c>
      <c r="C75" s="16">
        <f t="shared" si="1"/>
        <v>7.2832358491757703E-6</v>
      </c>
      <c r="D75" s="17">
        <v>5.4000000999999997</v>
      </c>
      <c r="E75" s="8">
        <v>7.2695997900000001E-6</v>
      </c>
    </row>
    <row r="76" spans="1:5">
      <c r="A76" s="17">
        <v>5.5</v>
      </c>
      <c r="B76" s="7">
        <f t="shared" si="0"/>
        <v>7.3370313304153648E-6</v>
      </c>
      <c r="C76" s="16">
        <f t="shared" si="1"/>
        <v>7.3370313304153648E-6</v>
      </c>
      <c r="D76" s="17">
        <v>5.5</v>
      </c>
      <c r="E76" s="8">
        <v>7.3236601600000002E-6</v>
      </c>
    </row>
    <row r="77" spans="1:5">
      <c r="A77" s="17">
        <v>5.5999999000000003</v>
      </c>
      <c r="B77" s="7">
        <f t="shared" si="0"/>
        <v>7.3897615908109169E-6</v>
      </c>
      <c r="C77" s="16">
        <f t="shared" si="1"/>
        <v>7.3897615908109169E-6</v>
      </c>
      <c r="D77" s="17">
        <v>5.5999999000000003</v>
      </c>
      <c r="E77" s="8">
        <v>7.3766600499999997E-6</v>
      </c>
    </row>
    <row r="78" spans="1:5">
      <c r="A78" s="17">
        <v>5.6999998099999996</v>
      </c>
      <c r="B78" s="7">
        <f t="shared" si="0"/>
        <v>7.4414477282445841E-6</v>
      </c>
      <c r="C78" s="16">
        <f t="shared" si="1"/>
        <v>7.4414477282445841E-6</v>
      </c>
      <c r="D78" s="17">
        <v>5.6999998099999996</v>
      </c>
      <c r="E78" s="8">
        <v>7.4285999299999999E-6</v>
      </c>
    </row>
    <row r="79" spans="1:5">
      <c r="A79" s="17">
        <v>5.8000001900000004</v>
      </c>
      <c r="B79" s="7">
        <f t="shared" si="0"/>
        <v>7.4921106482389559E-6</v>
      </c>
      <c r="C79" s="16">
        <f t="shared" si="1"/>
        <v>7.4921106482389559E-6</v>
      </c>
      <c r="D79" s="17">
        <v>5.8000001900000004</v>
      </c>
      <c r="E79" s="8">
        <v>7.4795198099999998E-6</v>
      </c>
    </row>
    <row r="80" spans="1:5">
      <c r="A80" s="17">
        <v>5.9000000999999997</v>
      </c>
      <c r="B80" s="7">
        <f t="shared" si="0"/>
        <v>7.5417701403555489E-6</v>
      </c>
      <c r="C80" s="16">
        <f t="shared" si="1"/>
        <v>7.5417701403555489E-6</v>
      </c>
      <c r="D80" s="17">
        <v>5.9000000999999997</v>
      </c>
      <c r="E80" s="8">
        <v>7.5294201499999999E-6</v>
      </c>
    </row>
    <row r="81" spans="1:5">
      <c r="A81" s="17">
        <v>6</v>
      </c>
      <c r="B81" s="7">
        <f t="shared" si="0"/>
        <v>7.5904463047023831E-6</v>
      </c>
      <c r="C81" s="16">
        <f t="shared" si="1"/>
        <v>7.5904463047023831E-6</v>
      </c>
      <c r="D81" s="17">
        <v>6</v>
      </c>
      <c r="E81" s="8">
        <v>7.5783400500000002E-6</v>
      </c>
    </row>
    <row r="82" spans="1:5">
      <c r="A82" s="17">
        <v>6.0999999000000003</v>
      </c>
      <c r="B82" s="7">
        <f t="shared" si="0"/>
        <v>7.6381586173710607E-6</v>
      </c>
      <c r="C82" s="16">
        <f t="shared" si="1"/>
        <v>7.6381586173710607E-6</v>
      </c>
      <c r="D82" s="17">
        <v>6.0999999000000003</v>
      </c>
      <c r="E82" s="8">
        <v>7.62628997E-6</v>
      </c>
    </row>
    <row r="83" spans="1:5">
      <c r="A83" s="17">
        <v>6.1999998099999996</v>
      </c>
      <c r="B83" s="7">
        <f t="shared" si="0"/>
        <v>7.6849261685147918E-6</v>
      </c>
      <c r="C83" s="16">
        <f t="shared" si="1"/>
        <v>7.6849261685147918E-6</v>
      </c>
      <c r="D83" s="17">
        <v>6.1999998099999996</v>
      </c>
      <c r="E83" s="8">
        <v>7.6732903799999993E-6</v>
      </c>
    </row>
    <row r="84" spans="1:5">
      <c r="A84" s="17">
        <v>6.3000001900000004</v>
      </c>
      <c r="B84" s="7">
        <f t="shared" si="0"/>
        <v>7.7307678742326612E-6</v>
      </c>
      <c r="C84" s="16">
        <f t="shared" si="1"/>
        <v>7.7307678742326612E-6</v>
      </c>
      <c r="D84" s="17">
        <v>6.3000001900000004</v>
      </c>
      <c r="E84" s="8">
        <v>7.7193599299999994E-6</v>
      </c>
    </row>
    <row r="85" spans="1:5">
      <c r="A85" s="17">
        <v>6.4000000999999997</v>
      </c>
      <c r="B85" s="7">
        <f t="shared" ref="B85:B148" si="2">B$9 + B$10*(1 - EXP(-A85/B$11))</f>
        <v>7.7757016408604152E-6</v>
      </c>
      <c r="C85" s="16">
        <f t="shared" si="1"/>
        <v>7.7757016408604152E-6</v>
      </c>
      <c r="D85" s="17">
        <v>6.4000000999999997</v>
      </c>
      <c r="E85" s="8">
        <v>7.76451998E-6</v>
      </c>
    </row>
    <row r="86" spans="1:5">
      <c r="A86" s="17">
        <v>6.5</v>
      </c>
      <c r="B86" s="7">
        <f t="shared" si="2"/>
        <v>7.8197456557279003E-6</v>
      </c>
      <c r="C86" s="16">
        <f t="shared" ref="C86:C121" si="3">D$1*B86</f>
        <v>7.8197456557279003E-6</v>
      </c>
      <c r="D86" s="17">
        <v>6.5</v>
      </c>
      <c r="E86" s="8">
        <v>7.8087896299999995E-6</v>
      </c>
    </row>
    <row r="87" spans="1:5">
      <c r="A87" s="17">
        <v>6.5999999000000003</v>
      </c>
      <c r="B87" s="7">
        <f t="shared" si="2"/>
        <v>7.8629175415315485E-6</v>
      </c>
      <c r="C87" s="16">
        <f t="shared" si="3"/>
        <v>7.8629175415315485E-6</v>
      </c>
      <c r="D87" s="17">
        <v>6.5999999000000003</v>
      </c>
      <c r="E87" s="8">
        <v>7.8521698000000005E-6</v>
      </c>
    </row>
    <row r="88" spans="1:5">
      <c r="A88" s="17">
        <v>6.6999998099999996</v>
      </c>
      <c r="B88" s="7">
        <f t="shared" si="2"/>
        <v>7.9052345717563075E-6</v>
      </c>
      <c r="C88" s="16">
        <f t="shared" si="3"/>
        <v>7.9052345717563075E-6</v>
      </c>
      <c r="D88" s="17">
        <v>6.6999998099999996</v>
      </c>
      <c r="E88" s="8">
        <v>7.8946995899999996E-6</v>
      </c>
    </row>
    <row r="89" spans="1:5">
      <c r="A89" s="17">
        <v>6.8000001900000004</v>
      </c>
      <c r="B89" s="7">
        <f t="shared" si="2"/>
        <v>7.9467138623964294E-6</v>
      </c>
      <c r="C89" s="16">
        <f t="shared" si="3"/>
        <v>7.9467138623964294E-6</v>
      </c>
      <c r="D89" s="17">
        <v>6.8000001900000004</v>
      </c>
      <c r="E89" s="8">
        <v>7.9363899199999998E-6</v>
      </c>
    </row>
    <row r="90" spans="1:5">
      <c r="A90" s="17">
        <v>6.9000000999999997</v>
      </c>
      <c r="B90" s="7">
        <f t="shared" si="2"/>
        <v>7.9873716157745159E-6</v>
      </c>
      <c r="C90" s="16">
        <f t="shared" si="3"/>
        <v>7.9873716157745159E-6</v>
      </c>
      <c r="D90" s="17">
        <v>6.9000000999999997</v>
      </c>
      <c r="E90" s="8">
        <v>7.9772498799999993E-6</v>
      </c>
    </row>
    <row r="91" spans="1:5">
      <c r="A91" s="17">
        <v>7</v>
      </c>
      <c r="B91" s="7">
        <f t="shared" si="2"/>
        <v>8.0272242884671488E-6</v>
      </c>
      <c r="C91" s="16">
        <f t="shared" si="3"/>
        <v>8.0272242884671488E-6</v>
      </c>
      <c r="D91" s="17">
        <v>7</v>
      </c>
      <c r="E91" s="8">
        <v>8.0173003900000002E-6</v>
      </c>
    </row>
    <row r="92" spans="1:5">
      <c r="A92" s="17">
        <v>7.0999999000000003</v>
      </c>
      <c r="B92" s="7">
        <f t="shared" si="2"/>
        <v>8.0662878261494656E-6</v>
      </c>
      <c r="C92" s="16">
        <f t="shared" si="3"/>
        <v>8.0662878261494656E-6</v>
      </c>
      <c r="D92" s="17">
        <v>7.0999999000000003</v>
      </c>
      <c r="E92" s="8">
        <v>8.0565596400000002E-6</v>
      </c>
    </row>
    <row r="93" spans="1:5">
      <c r="A93" s="17">
        <v>7.1999998099999996</v>
      </c>
      <c r="B93" s="7">
        <f t="shared" si="2"/>
        <v>8.1045778585169868E-6</v>
      </c>
      <c r="C93" s="16">
        <f t="shared" si="3"/>
        <v>8.1045778585169868E-6</v>
      </c>
      <c r="D93" s="17">
        <v>7.1999998099999996</v>
      </c>
      <c r="E93" s="8">
        <v>8.0950403599999994E-6</v>
      </c>
    </row>
    <row r="94" spans="1:5">
      <c r="A94" s="17">
        <v>7.3000001900000004</v>
      </c>
      <c r="B94" s="7">
        <f t="shared" si="2"/>
        <v>8.1421098727617568E-6</v>
      </c>
      <c r="C94" s="16">
        <f t="shared" si="3"/>
        <v>8.1421098727617568E-6</v>
      </c>
      <c r="D94" s="17">
        <v>7.3000001900000004</v>
      </c>
      <c r="E94" s="8">
        <v>8.1327598299999996E-6</v>
      </c>
    </row>
    <row r="95" spans="1:5">
      <c r="A95" s="17">
        <v>7.4000000999999997</v>
      </c>
      <c r="B95" s="7">
        <f t="shared" si="2"/>
        <v>8.1788985293515295E-6</v>
      </c>
      <c r="C95" s="16">
        <f t="shared" si="3"/>
        <v>8.1788985293515295E-6</v>
      </c>
      <c r="D95" s="17">
        <v>7.4000000999999997</v>
      </c>
      <c r="E95" s="8">
        <v>8.1697298799999999E-6</v>
      </c>
    </row>
    <row r="96" spans="1:5">
      <c r="A96" s="17">
        <v>7.5</v>
      </c>
      <c r="B96" s="7">
        <f t="shared" si="2"/>
        <v>8.2149587188125626E-6</v>
      </c>
      <c r="C96" s="16">
        <f t="shared" si="3"/>
        <v>8.2149587188125626E-6</v>
      </c>
      <c r="D96" s="17">
        <v>7.5</v>
      </c>
      <c r="E96" s="8">
        <v>8.2059696100000004E-6</v>
      </c>
    </row>
    <row r="97" spans="1:5">
      <c r="A97" s="17">
        <v>7.5999999000000003</v>
      </c>
      <c r="B97" s="7">
        <f t="shared" si="2"/>
        <v>8.2503048693883801E-6</v>
      </c>
      <c r="C97" s="16">
        <f t="shared" si="3"/>
        <v>8.2503048693883801E-6</v>
      </c>
      <c r="D97" s="17">
        <v>7.5999999000000003</v>
      </c>
      <c r="E97" s="8">
        <v>8.2414999300000002E-6</v>
      </c>
    </row>
    <row r="98" spans="1:5">
      <c r="A98" s="17">
        <v>7.6999998099999996</v>
      </c>
      <c r="B98" s="7">
        <f t="shared" si="2"/>
        <v>8.2849511234123214E-6</v>
      </c>
      <c r="C98" s="16">
        <f t="shared" si="3"/>
        <v>8.2849511234123214E-6</v>
      </c>
      <c r="D98" s="17">
        <v>7.6999998099999996</v>
      </c>
      <c r="E98" s="8">
        <v>8.2763199299999999E-6</v>
      </c>
    </row>
    <row r="99" spans="1:5">
      <c r="A99" s="17">
        <v>7.8000001900000004</v>
      </c>
      <c r="B99" s="7">
        <f t="shared" si="2"/>
        <v>8.3189114942752472E-6</v>
      </c>
      <c r="C99" s="16">
        <f t="shared" si="3"/>
        <v>8.3189114942752472E-6</v>
      </c>
      <c r="D99" s="17">
        <v>7.8000001900000004</v>
      </c>
      <c r="E99" s="8">
        <v>8.3104496300000008E-6</v>
      </c>
    </row>
    <row r="100" spans="1:5">
      <c r="A100" s="17">
        <v>7.9000000999999997</v>
      </c>
      <c r="B100" s="7">
        <f t="shared" si="2"/>
        <v>8.3521992473169493E-6</v>
      </c>
      <c r="C100" s="16">
        <f t="shared" si="3"/>
        <v>8.3521992473169493E-6</v>
      </c>
      <c r="D100" s="17">
        <v>7.9000000999999997</v>
      </c>
      <c r="E100" s="8">
        <v>8.3438999399999992E-6</v>
      </c>
    </row>
    <row r="101" spans="1:5">
      <c r="A101" s="17">
        <v>8</v>
      </c>
      <c r="B101" s="7">
        <f t="shared" si="2"/>
        <v>8.3848278560427574E-6</v>
      </c>
      <c r="C101" s="16">
        <f t="shared" si="3"/>
        <v>8.3848278560427574E-6</v>
      </c>
      <c r="D101" s="17">
        <v>8</v>
      </c>
      <c r="E101" s="8">
        <v>8.3766899500000008E-6</v>
      </c>
    </row>
    <row r="102" spans="1:5">
      <c r="A102" s="17">
        <v>8.1000003800000009</v>
      </c>
      <c r="B102" s="7">
        <f t="shared" si="2"/>
        <v>8.4168105276534887E-6</v>
      </c>
      <c r="C102" s="16">
        <f t="shared" si="3"/>
        <v>8.4168105276534887E-6</v>
      </c>
      <c r="D102" s="17">
        <v>8.1000003800000009</v>
      </c>
      <c r="E102" s="8">
        <v>8.4088396799999998E-6</v>
      </c>
    </row>
    <row r="103" spans="1:5">
      <c r="A103" s="17">
        <v>8.1999998099999996</v>
      </c>
      <c r="B103" s="7">
        <f t="shared" si="2"/>
        <v>8.4481596027029319E-6</v>
      </c>
      <c r="C103" s="16">
        <f t="shared" si="3"/>
        <v>8.4481596027029319E-6</v>
      </c>
      <c r="D103" s="17">
        <v>8.1999998099999996</v>
      </c>
      <c r="E103" s="8">
        <v>8.44034003E-6</v>
      </c>
    </row>
    <row r="104" spans="1:5">
      <c r="A104" s="17">
        <v>8.3000001900000004</v>
      </c>
      <c r="B104" s="7">
        <f t="shared" si="2"/>
        <v>8.4788882169900865E-6</v>
      </c>
      <c r="C104" s="16">
        <f t="shared" si="3"/>
        <v>8.4788882169900865E-6</v>
      </c>
      <c r="D104" s="17">
        <v>8.3000001900000004</v>
      </c>
      <c r="E104" s="8">
        <v>8.4712201000000008E-6</v>
      </c>
    </row>
    <row r="105" spans="1:5">
      <c r="A105" s="17">
        <v>8.3999996199999991</v>
      </c>
      <c r="B105" s="7">
        <f t="shared" si="2"/>
        <v>8.5090080783693395E-6</v>
      </c>
      <c r="C105" s="16">
        <f t="shared" si="3"/>
        <v>8.5090080783693395E-6</v>
      </c>
      <c r="D105" s="17">
        <v>8.3999996199999991</v>
      </c>
      <c r="E105" s="8">
        <v>8.5014898999999992E-6</v>
      </c>
    </row>
    <row r="106" spans="1:5">
      <c r="A106" s="17">
        <v>8.5</v>
      </c>
      <c r="B106" s="7">
        <f t="shared" si="2"/>
        <v>8.5385318075781232E-6</v>
      </c>
      <c r="C106" s="16">
        <f t="shared" si="3"/>
        <v>8.5385318075781232E-6</v>
      </c>
      <c r="D106" s="17">
        <v>8.5</v>
      </c>
      <c r="E106" s="8">
        <v>8.5311703500000008E-6</v>
      </c>
    </row>
    <row r="107" spans="1:5">
      <c r="A107" s="17">
        <v>8.6000003800000009</v>
      </c>
      <c r="B107" s="7">
        <f t="shared" si="2"/>
        <v>8.5674709255802693E-6</v>
      </c>
      <c r="C107" s="16">
        <f t="shared" si="3"/>
        <v>8.5674709255802693E-6</v>
      </c>
      <c r="D107" s="17">
        <v>8.6000003800000009</v>
      </c>
      <c r="E107" s="8">
        <v>8.5602496299999996E-6</v>
      </c>
    </row>
    <row r="108" spans="1:5">
      <c r="A108" s="17">
        <v>8.6999998099999996</v>
      </c>
      <c r="B108" s="7">
        <f t="shared" si="2"/>
        <v>8.5958367417058234E-6</v>
      </c>
      <c r="C108" s="16">
        <f t="shared" si="3"/>
        <v>8.5958367417058234E-6</v>
      </c>
      <c r="D108" s="17">
        <v>8.6999998099999996</v>
      </c>
      <c r="E108" s="8">
        <v>8.5887595599999997E-6</v>
      </c>
    </row>
    <row r="109" spans="1:5">
      <c r="A109" s="17">
        <v>8.8000001900000004</v>
      </c>
      <c r="B109" s="7">
        <f t="shared" si="2"/>
        <v>8.6236411417172353E-6</v>
      </c>
      <c r="C109" s="16">
        <f t="shared" si="3"/>
        <v>8.6236411417172353E-6</v>
      </c>
      <c r="D109" s="17">
        <v>8.8000001900000004</v>
      </c>
      <c r="E109" s="8">
        <v>8.6167001399999993E-6</v>
      </c>
    </row>
    <row r="110" spans="1:5">
      <c r="A110" s="17">
        <v>8.8999996199999991</v>
      </c>
      <c r="B110" s="7">
        <f t="shared" si="2"/>
        <v>8.6508947193192396E-6</v>
      </c>
      <c r="C110" s="16">
        <f t="shared" si="3"/>
        <v>8.6508947193192396E-6</v>
      </c>
      <c r="D110" s="17">
        <v>8.8999996199999991</v>
      </c>
      <c r="E110" s="8">
        <v>8.6440895800000007E-6</v>
      </c>
    </row>
    <row r="111" spans="1:5">
      <c r="A111" s="17">
        <v>9</v>
      </c>
      <c r="B111" s="7">
        <f t="shared" si="2"/>
        <v>8.6776088942273089E-6</v>
      </c>
      <c r="C111" s="16">
        <f t="shared" si="3"/>
        <v>8.6776088942273089E-6</v>
      </c>
      <c r="D111" s="17">
        <v>9</v>
      </c>
      <c r="E111" s="8">
        <v>8.6709396800000002E-6</v>
      </c>
    </row>
    <row r="112" spans="1:5">
      <c r="A112" s="17">
        <v>9.1000003800000009</v>
      </c>
      <c r="B112" s="7">
        <f t="shared" si="2"/>
        <v>8.703794091040607E-6</v>
      </c>
      <c r="C112" s="16">
        <f t="shared" si="3"/>
        <v>8.703794091040607E-6</v>
      </c>
      <c r="D112" s="17">
        <v>9.1000003800000009</v>
      </c>
      <c r="E112" s="8">
        <v>8.6972595500000006E-6</v>
      </c>
    </row>
    <row r="113" spans="1:5">
      <c r="A113" s="17">
        <v>9.1999998099999996</v>
      </c>
      <c r="B113" s="7">
        <f t="shared" si="2"/>
        <v>8.7294605428641365E-6</v>
      </c>
      <c r="C113" s="16">
        <f t="shared" si="3"/>
        <v>8.7294605428641365E-6</v>
      </c>
      <c r="D113" s="17">
        <v>9.1999998099999996</v>
      </c>
      <c r="E113" s="8">
        <v>8.7230500899999995E-6</v>
      </c>
    </row>
    <row r="114" spans="1:5">
      <c r="A114" s="17">
        <v>9.3000001900000004</v>
      </c>
      <c r="B114" s="7">
        <f t="shared" si="2"/>
        <v>8.7546190043805015E-6</v>
      </c>
      <c r="C114" s="16">
        <f t="shared" si="3"/>
        <v>8.7546190043805015E-6</v>
      </c>
      <c r="D114" s="17">
        <v>9.3000001900000004</v>
      </c>
      <c r="E114" s="8">
        <v>8.7483404099999996E-6</v>
      </c>
    </row>
    <row r="115" spans="1:5">
      <c r="A115" s="17">
        <v>9.3999996199999991</v>
      </c>
      <c r="B115" s="7">
        <f t="shared" si="2"/>
        <v>8.7792790611701411E-6</v>
      </c>
      <c r="C115" s="16">
        <f t="shared" si="3"/>
        <v>8.7792790611701411E-6</v>
      </c>
      <c r="D115" s="17">
        <v>9.3999996199999991</v>
      </c>
      <c r="E115" s="8">
        <v>8.7731195899999992E-6</v>
      </c>
    </row>
    <row r="116" spans="1:5">
      <c r="A116" s="17">
        <v>9.5</v>
      </c>
      <c r="B116" s="7">
        <f t="shared" si="2"/>
        <v>8.8034510462189209E-6</v>
      </c>
      <c r="C116" s="16">
        <f t="shared" si="3"/>
        <v>8.8034510462189209E-6</v>
      </c>
      <c r="D116" s="17">
        <v>9.5</v>
      </c>
      <c r="E116" s="8">
        <v>8.7974103700000008E-6</v>
      </c>
    </row>
    <row r="117" spans="1:5">
      <c r="A117" s="17">
        <v>9.6000003800000009</v>
      </c>
      <c r="B117" s="7">
        <f t="shared" si="2"/>
        <v>8.8271443920942305E-6</v>
      </c>
      <c r="C117" s="16">
        <f t="shared" si="3"/>
        <v>8.8271443920942305E-6</v>
      </c>
      <c r="D117" s="17">
        <v>9.6000003800000009</v>
      </c>
      <c r="E117" s="8">
        <v>8.8212200400000002E-6</v>
      </c>
    </row>
    <row r="118" spans="1:5">
      <c r="A118" s="17">
        <v>9.6999998099999996</v>
      </c>
      <c r="B118" s="7">
        <f t="shared" si="2"/>
        <v>8.8503683580923755E-6</v>
      </c>
      <c r="C118" s="16">
        <f t="shared" si="3"/>
        <v>8.8503683580923755E-6</v>
      </c>
      <c r="D118" s="17">
        <v>9.6999998099999996</v>
      </c>
      <c r="E118" s="8">
        <v>8.8445703999999993E-6</v>
      </c>
    </row>
    <row r="119" spans="1:5">
      <c r="A119" s="17">
        <v>9.8000001900000004</v>
      </c>
      <c r="B119" s="7">
        <f t="shared" si="2"/>
        <v>8.8731326754525992E-6</v>
      </c>
      <c r="C119" s="16">
        <f t="shared" si="3"/>
        <v>8.8731326754525992E-6</v>
      </c>
      <c r="D119" s="17">
        <v>9.8000001900000004</v>
      </c>
      <c r="E119" s="8">
        <v>8.8674396499999996E-6</v>
      </c>
    </row>
    <row r="120" spans="1:5">
      <c r="A120" s="17">
        <v>9.8999996199999991</v>
      </c>
      <c r="B120" s="7">
        <f t="shared" si="2"/>
        <v>8.895446017566759E-6</v>
      </c>
      <c r="C120" s="16">
        <f t="shared" si="3"/>
        <v>8.895446017566759E-6</v>
      </c>
      <c r="D120" s="17">
        <v>9.8999996199999991</v>
      </c>
      <c r="E120" s="8">
        <v>8.8898695999999992E-6</v>
      </c>
    </row>
    <row r="121" spans="1:5">
      <c r="A121" s="17">
        <v>10</v>
      </c>
      <c r="B121" s="7">
        <f t="shared" si="2"/>
        <v>8.9173177341070992E-6</v>
      </c>
      <c r="C121" s="16">
        <f t="shared" si="3"/>
        <v>8.9173177341070992E-6</v>
      </c>
      <c r="D121" s="17">
        <v>10</v>
      </c>
      <c r="E121" s="8">
        <v>8.9118502700000004E-6</v>
      </c>
    </row>
    <row r="122" spans="1:5">
      <c r="A122" s="17">
        <v>10.100000400000001</v>
      </c>
      <c r="B122" s="7">
        <f t="shared" si="2"/>
        <v>8.9387563642585208E-6</v>
      </c>
      <c r="C122" s="16">
        <f>D$1*(B122 - B22)</f>
        <v>6.7803457491442446E-6</v>
      </c>
      <c r="D122" s="17">
        <v>10.100000400000001</v>
      </c>
      <c r="E122" s="8">
        <v>6.8140698199999999E-6</v>
      </c>
    </row>
    <row r="123" spans="1:5">
      <c r="A123" s="17">
        <v>10.199999800000001</v>
      </c>
      <c r="B123" s="7">
        <f t="shared" si="2"/>
        <v>8.9597702713634047E-6</v>
      </c>
      <c r="C123" s="16">
        <f t="shared" ref="C123:C186" si="4">D$1*(B123 - B23)</f>
        <v>6.6460857799702008E-6</v>
      </c>
      <c r="D123" s="17">
        <v>10.199999800000001</v>
      </c>
      <c r="E123" s="8">
        <v>6.6791399100000003E-6</v>
      </c>
    </row>
    <row r="124" spans="1:5">
      <c r="A124" s="17">
        <v>10.300000199999999</v>
      </c>
      <c r="B124" s="7">
        <f t="shared" si="2"/>
        <v>8.9803682816267053E-6</v>
      </c>
      <c r="C124" s="16">
        <f t="shared" si="4"/>
        <v>6.514484532218816E-6</v>
      </c>
      <c r="D124" s="17">
        <v>10.300000199999999</v>
      </c>
      <c r="E124" s="8">
        <v>6.5468898400000004E-6</v>
      </c>
    </row>
    <row r="125" spans="1:5">
      <c r="A125" s="17">
        <v>10.399999599999999</v>
      </c>
      <c r="B125" s="7">
        <f t="shared" si="2"/>
        <v>9.000558222456002E-6</v>
      </c>
      <c r="C125" s="16">
        <f t="shared" si="4"/>
        <v>6.3854889846871715E-6</v>
      </c>
      <c r="D125" s="17">
        <v>10.399999599999999</v>
      </c>
      <c r="E125" s="8">
        <v>6.4172600099999999E-6</v>
      </c>
    </row>
    <row r="126" spans="1:5">
      <c r="A126" s="17">
        <v>10.5</v>
      </c>
      <c r="B126" s="7">
        <f t="shared" si="2"/>
        <v>9.0203485739761459E-6</v>
      </c>
      <c r="C126" s="16">
        <f t="shared" si="4"/>
        <v>6.2590479182638221E-6</v>
      </c>
      <c r="D126" s="17">
        <v>10.5</v>
      </c>
      <c r="E126" s="8">
        <v>6.2901899600000004E-6</v>
      </c>
    </row>
    <row r="127" spans="1:5">
      <c r="A127" s="17">
        <v>10.600000400000001</v>
      </c>
      <c r="B127" s="7">
        <f t="shared" si="2"/>
        <v>9.0397470487285868E-6</v>
      </c>
      <c r="C127" s="16">
        <f t="shared" si="4"/>
        <v>6.1351105084081025E-6</v>
      </c>
      <c r="D127" s="17">
        <v>10.600000400000001</v>
      </c>
      <c r="E127" s="8">
        <v>6.1656401199999997E-6</v>
      </c>
    </row>
    <row r="128" spans="1:5">
      <c r="A128" s="17">
        <v>10.699999800000001</v>
      </c>
      <c r="B128" s="7">
        <f t="shared" si="2"/>
        <v>9.058761218176216E-6</v>
      </c>
      <c r="C128" s="16">
        <f t="shared" si="4"/>
        <v>6.0136271180583409E-6</v>
      </c>
      <c r="D128" s="17">
        <v>10.699999800000001</v>
      </c>
      <c r="E128" s="8">
        <v>6.0435600099999996E-6</v>
      </c>
    </row>
    <row r="129" spans="1:5">
      <c r="A129" s="17">
        <v>10.800000199999999</v>
      </c>
      <c r="B129" s="7">
        <f t="shared" si="2"/>
        <v>9.0773990685995377E-6</v>
      </c>
      <c r="C129" s="16">
        <f t="shared" si="4"/>
        <v>5.8945493639680677E-6</v>
      </c>
      <c r="D129" s="17">
        <v>10.800000199999999</v>
      </c>
      <c r="E129" s="8">
        <v>5.9238900600000001E-6</v>
      </c>
    </row>
    <row r="130" spans="1:5">
      <c r="A130" s="17">
        <v>10.899999599999999</v>
      </c>
      <c r="B130" s="7">
        <f t="shared" si="2"/>
        <v>9.0956676825298194E-6</v>
      </c>
      <c r="C130" s="16">
        <f t="shared" si="4"/>
        <v>5.7778294058943717E-6</v>
      </c>
      <c r="D130" s="17">
        <v>10.899999599999999</v>
      </c>
      <c r="E130" s="8">
        <v>5.8065897999999999E-6</v>
      </c>
    </row>
    <row r="131" spans="1:5">
      <c r="A131" s="17">
        <v>11</v>
      </c>
      <c r="B131" s="7">
        <f t="shared" si="2"/>
        <v>9.1135747331013297E-6</v>
      </c>
      <c r="C131" s="16">
        <f t="shared" si="4"/>
        <v>5.6634207577251844E-6</v>
      </c>
      <c r="D131" s="17">
        <v>11</v>
      </c>
      <c r="E131" s="8">
        <v>5.69162012E-6</v>
      </c>
    </row>
    <row r="132" spans="1:5">
      <c r="A132" s="17">
        <v>11.100000400000001</v>
      </c>
      <c r="B132" s="7">
        <f t="shared" si="2"/>
        <v>9.1311271989101635E-6</v>
      </c>
      <c r="C132" s="16">
        <f t="shared" si="4"/>
        <v>5.55127755692939E-6</v>
      </c>
      <c r="D132" s="17">
        <v>11.100000400000001</v>
      </c>
      <c r="E132" s="8">
        <v>5.5789200800000001E-6</v>
      </c>
    </row>
    <row r="133" spans="1:5">
      <c r="A133" s="17">
        <v>11.199999800000001</v>
      </c>
      <c r="B133" s="7">
        <f t="shared" si="2"/>
        <v>9.1483319308992565E-6</v>
      </c>
      <c r="C133" s="16">
        <f t="shared" si="4"/>
        <v>5.4413547565014553E-6</v>
      </c>
      <c r="D133" s="17">
        <v>11.199999800000001</v>
      </c>
      <c r="E133" s="8">
        <v>5.4684601300000002E-6</v>
      </c>
    </row>
    <row r="134" spans="1:5">
      <c r="A134" s="17">
        <v>11.300000199999999</v>
      </c>
      <c r="B134" s="7">
        <f t="shared" si="2"/>
        <v>9.1651961553540357E-6</v>
      </c>
      <c r="C134" s="16">
        <f t="shared" si="4"/>
        <v>5.3336089034666938E-6</v>
      </c>
      <c r="D134" s="17">
        <v>11.300000199999999</v>
      </c>
      <c r="E134" s="8">
        <v>5.3601797799999999E-6</v>
      </c>
    </row>
    <row r="135" spans="1:5">
      <c r="A135" s="17">
        <v>11.399999599999999</v>
      </c>
      <c r="B135" s="7">
        <f t="shared" si="2"/>
        <v>9.1817262808138057E-6</v>
      </c>
      <c r="C135" s="16">
        <f t="shared" si="4"/>
        <v>5.2279962366446887E-6</v>
      </c>
      <c r="D135" s="17">
        <v>11.399999599999999</v>
      </c>
      <c r="E135" s="8">
        <v>5.2540399299999998E-6</v>
      </c>
    </row>
    <row r="136" spans="1:5">
      <c r="A136" s="17">
        <v>11.5</v>
      </c>
      <c r="B136" s="7">
        <f t="shared" si="2"/>
        <v>9.1979292502175711E-6</v>
      </c>
      <c r="C136" s="16">
        <f t="shared" si="4"/>
        <v>5.1244750156713138E-6</v>
      </c>
      <c r="D136" s="17">
        <v>11.5</v>
      </c>
      <c r="E136" s="8">
        <v>5.1500101100000003E-6</v>
      </c>
    </row>
    <row r="137" spans="1:5">
      <c r="A137" s="17">
        <v>11.600000400000001</v>
      </c>
      <c r="B137" s="7">
        <f t="shared" si="2"/>
        <v>9.2138113780602014E-6</v>
      </c>
      <c r="C137" s="16">
        <f t="shared" si="4"/>
        <v>5.0230036514129597E-6</v>
      </c>
      <c r="D137" s="17">
        <v>11.600000400000001</v>
      </c>
      <c r="E137" s="8">
        <v>5.0480298299999998E-6</v>
      </c>
    </row>
    <row r="138" spans="1:5">
      <c r="A138" s="17">
        <v>11.699999800000001</v>
      </c>
      <c r="B138" s="7">
        <f t="shared" si="2"/>
        <v>9.2293788633312129E-6</v>
      </c>
      <c r="C138" s="16">
        <f t="shared" si="4"/>
        <v>4.9235413884904653E-6</v>
      </c>
      <c r="D138" s="17">
        <v>11.699999800000001</v>
      </c>
      <c r="E138" s="8">
        <v>4.9480800000000004E-6</v>
      </c>
    </row>
    <row r="139" spans="1:5">
      <c r="A139" s="17">
        <v>11.800000199999999</v>
      </c>
      <c r="B139" s="7">
        <f t="shared" si="2"/>
        <v>9.2446382446440523E-6</v>
      </c>
      <c r="C139" s="16">
        <f t="shared" si="4"/>
        <v>4.8260489090264066E-6</v>
      </c>
      <c r="D139" s="17">
        <v>11.800000199999999</v>
      </c>
      <c r="E139" s="8">
        <v>4.8501001399999996E-6</v>
      </c>
    </row>
    <row r="140" spans="1:5">
      <c r="A140" s="17">
        <v>11.899999599999999</v>
      </c>
      <c r="B140" s="7">
        <f t="shared" si="2"/>
        <v>9.2595953206848831E-6</v>
      </c>
      <c r="C140" s="16">
        <f t="shared" si="4"/>
        <v>4.7304866162672944E-6</v>
      </c>
      <c r="D140" s="17">
        <v>11.899999599999999</v>
      </c>
      <c r="E140" s="8">
        <v>4.75406978E-6</v>
      </c>
    </row>
    <row r="141" spans="1:5">
      <c r="A141" s="17">
        <v>12</v>
      </c>
      <c r="B141" s="7">
        <f t="shared" si="2"/>
        <v>9.274256373684702E-6</v>
      </c>
      <c r="C141" s="16">
        <f t="shared" si="4"/>
        <v>4.6368167419698162E-6</v>
      </c>
      <c r="D141" s="17">
        <v>12</v>
      </c>
      <c r="E141" s="8">
        <v>4.6599397999999996E-6</v>
      </c>
    </row>
    <row r="142" spans="1:5">
      <c r="A142" s="17">
        <v>12.100000400000001</v>
      </c>
      <c r="B142" s="7">
        <f t="shared" si="2"/>
        <v>9.2886271172347436E-6</v>
      </c>
      <c r="C142" s="16">
        <f t="shared" si="4"/>
        <v>4.5450017808826903E-6</v>
      </c>
      <c r="D142" s="17">
        <v>12.100000400000001</v>
      </c>
      <c r="E142" s="8">
        <v>4.5676701999999998E-6</v>
      </c>
    </row>
    <row r="143" spans="1:5">
      <c r="A143" s="17">
        <v>12.199999800000001</v>
      </c>
      <c r="B143" s="7">
        <f t="shared" si="2"/>
        <v>9.3027131604126772E-6</v>
      </c>
      <c r="C143" s="16">
        <f t="shared" si="4"/>
        <v>4.4550044775548936E-6</v>
      </c>
      <c r="D143" s="17">
        <v>12.199999800000001</v>
      </c>
      <c r="E143" s="8">
        <v>4.4772200499999998E-6</v>
      </c>
    </row>
    <row r="144" spans="1:5">
      <c r="A144" s="17">
        <v>12.300000199999999</v>
      </c>
      <c r="B144" s="7">
        <f t="shared" si="2"/>
        <v>9.3165204196006143E-6</v>
      </c>
      <c r="C144" s="16">
        <f t="shared" si="4"/>
        <v>4.3667896341587134E-6</v>
      </c>
      <c r="D144" s="17">
        <v>12.300000199999999</v>
      </c>
      <c r="E144" s="8">
        <v>4.3885697799999999E-6</v>
      </c>
    </row>
    <row r="145" spans="1:5">
      <c r="A145" s="17">
        <v>12.399999599999999</v>
      </c>
      <c r="B145" s="7">
        <f t="shared" si="2"/>
        <v>9.3300541416667668E-6</v>
      </c>
      <c r="C145" s="16">
        <f t="shared" si="4"/>
        <v>4.2803211771105517E-6</v>
      </c>
      <c r="D145" s="17">
        <v>12.399999599999999</v>
      </c>
      <c r="E145" s="8">
        <v>4.3016698299999999E-6</v>
      </c>
    </row>
    <row r="146" spans="1:5">
      <c r="A146" s="17">
        <v>12.5</v>
      </c>
      <c r="B146" s="7">
        <f t="shared" si="2"/>
        <v>9.3433200110088098E-6</v>
      </c>
      <c r="C146" s="16">
        <f t="shared" si="4"/>
        <v>4.1955652887098767E-6</v>
      </c>
      <c r="D146" s="17">
        <v>12.5</v>
      </c>
      <c r="E146" s="8">
        <v>4.2165002000000001E-6</v>
      </c>
    </row>
    <row r="147" spans="1:5">
      <c r="A147" s="17">
        <v>12.600000400000001</v>
      </c>
      <c r="B147" s="7">
        <f t="shared" si="2"/>
        <v>9.3563231974978884E-6</v>
      </c>
      <c r="C147" s="16">
        <f t="shared" si="4"/>
        <v>4.1124876763827316E-6</v>
      </c>
      <c r="D147" s="17">
        <v>12.600000400000001</v>
      </c>
      <c r="E147" s="8">
        <v>4.13300995E-6</v>
      </c>
    </row>
    <row r="148" spans="1:5">
      <c r="A148" s="17">
        <v>12.699999800000001</v>
      </c>
      <c r="B148" s="7">
        <f t="shared" si="2"/>
        <v>9.3690687764373528E-6</v>
      </c>
      <c r="C148" s="16">
        <f t="shared" si="4"/>
        <v>4.0310547488094094E-6</v>
      </c>
      <c r="D148" s="17">
        <v>12.699999800000001</v>
      </c>
      <c r="E148" s="8">
        <v>4.0511699800000002E-6</v>
      </c>
    </row>
    <row r="149" spans="1:5">
      <c r="A149" s="17">
        <v>12.800000199999999</v>
      </c>
      <c r="B149" s="7">
        <f t="shared" ref="B149:B212" si="5">B$9 + B$10*(1 - EXP(-A149/B$11))</f>
        <v>9.3815621011911192E-6</v>
      </c>
      <c r="C149" s="16">
        <f t="shared" si="4"/>
        <v>3.9512346576783626E-6</v>
      </c>
      <c r="D149" s="17">
        <v>12.800000199999999</v>
      </c>
      <c r="E149" s="8">
        <v>3.9709598200000001E-6</v>
      </c>
    </row>
    <row r="150" spans="1:5">
      <c r="A150" s="17">
        <v>12.899999599999999</v>
      </c>
      <c r="B150" s="7">
        <f t="shared" si="5"/>
        <v>9.3938079193218736E-6</v>
      </c>
      <c r="C150" s="16">
        <f t="shared" si="4"/>
        <v>3.8729947622613515E-6</v>
      </c>
      <c r="D150" s="17">
        <v>12.899999599999999</v>
      </c>
      <c r="E150" s="8">
        <v>3.8923299100000003E-6</v>
      </c>
    </row>
    <row r="151" spans="1:5">
      <c r="A151" s="17">
        <v>13</v>
      </c>
      <c r="B151" s="7">
        <f t="shared" si="5"/>
        <v>9.4058113742853304E-6</v>
      </c>
      <c r="C151" s="16">
        <f t="shared" si="4"/>
        <v>3.7963044630375407E-6</v>
      </c>
      <c r="D151" s="17">
        <v>13</v>
      </c>
      <c r="E151" s="8">
        <v>3.8152597899999997E-6</v>
      </c>
    </row>
    <row r="152" spans="1:5">
      <c r="A152" s="17">
        <v>13.100000400000001</v>
      </c>
      <c r="B152" s="7">
        <f t="shared" si="5"/>
        <v>9.4175771439743471E-6</v>
      </c>
      <c r="C152" s="16">
        <f t="shared" si="4"/>
        <v>3.721132730802854E-6</v>
      </c>
      <c r="D152" s="17">
        <v>13.100000400000001</v>
      </c>
      <c r="E152" s="8">
        <v>3.73971011E-6</v>
      </c>
    </row>
    <row r="153" spans="1:5">
      <c r="A153" s="17">
        <v>13.199999800000001</v>
      </c>
      <c r="B153" s="7">
        <f t="shared" si="5"/>
        <v>9.4291098207133065E-6</v>
      </c>
      <c r="C153" s="16">
        <f t="shared" si="4"/>
        <v>3.6474491708743001E-6</v>
      </c>
      <c r="D153" s="17">
        <v>13.199999800000001</v>
      </c>
      <c r="E153" s="8">
        <v>3.6656599599999999E-6</v>
      </c>
    </row>
    <row r="154" spans="1:5">
      <c r="A154" s="17">
        <v>13.300000199999999</v>
      </c>
      <c r="B154" s="7">
        <f t="shared" si="5"/>
        <v>9.4404142484261883E-6</v>
      </c>
      <c r="C154" s="16">
        <f t="shared" si="4"/>
        <v>3.5752249657078891E-6</v>
      </c>
      <c r="D154" s="17">
        <v>13.300000199999999</v>
      </c>
      <c r="E154" s="8">
        <v>3.5930800100000001E-6</v>
      </c>
    </row>
    <row r="155" spans="1:5">
      <c r="A155" s="17">
        <v>13.399999599999999</v>
      </c>
      <c r="B155" s="7">
        <f t="shared" si="5"/>
        <v>9.4514947228853571E-6</v>
      </c>
      <c r="C155" s="16">
        <f t="shared" si="4"/>
        <v>3.5044305807513557E-6</v>
      </c>
      <c r="D155" s="17">
        <v>13.399999599999999</v>
      </c>
      <c r="E155" s="8">
        <v>3.52194002E-6</v>
      </c>
    </row>
    <row r="156" spans="1:5">
      <c r="A156" s="17">
        <v>13.5</v>
      </c>
      <c r="B156" s="7">
        <f t="shared" si="5"/>
        <v>9.4623558980820031E-6</v>
      </c>
      <c r="C156" s="16">
        <f t="shared" si="4"/>
        <v>3.4350383284132787E-6</v>
      </c>
      <c r="D156" s="17">
        <v>13.5</v>
      </c>
      <c r="E156" s="8">
        <v>3.45219996E-6</v>
      </c>
    </row>
    <row r="157" spans="1:5">
      <c r="A157" s="17">
        <v>13.600000400000001</v>
      </c>
      <c r="B157" s="7">
        <f t="shared" si="5"/>
        <v>9.4730020067486192E-6</v>
      </c>
      <c r="C157" s="16">
        <f t="shared" si="4"/>
        <v>3.3670201323087536E-6</v>
      </c>
      <c r="D157" s="17">
        <v>13.600000400000001</v>
      </c>
      <c r="E157" s="8">
        <v>3.38384007E-6</v>
      </c>
    </row>
    <row r="158" spans="1:5">
      <c r="A158" s="17">
        <v>13.699999800000001</v>
      </c>
      <c r="B158" s="7">
        <f t="shared" si="5"/>
        <v>9.4834372041921414E-6</v>
      </c>
      <c r="C158" s="16">
        <f t="shared" si="4"/>
        <v>3.3003484901913031E-6</v>
      </c>
      <c r="D158" s="17">
        <v>13.699999800000001</v>
      </c>
      <c r="E158" s="8">
        <v>3.3168400900000001E-6</v>
      </c>
    </row>
    <row r="159" spans="1:5">
      <c r="A159" s="17">
        <v>13.800000199999999</v>
      </c>
      <c r="B159" s="7">
        <f t="shared" si="5"/>
        <v>9.4936658733762406E-6</v>
      </c>
      <c r="C159" s="16">
        <f t="shared" si="4"/>
        <v>3.2349973268688273E-6</v>
      </c>
      <c r="D159" s="17">
        <v>13.800000199999999</v>
      </c>
      <c r="E159" s="8">
        <v>3.2511700299999998E-6</v>
      </c>
    </row>
    <row r="160" spans="1:5">
      <c r="A160" s="17">
        <v>13.899999599999999</v>
      </c>
      <c r="B160" s="7">
        <f t="shared" si="5"/>
        <v>9.5036919012764888E-6</v>
      </c>
      <c r="C160" s="16">
        <f t="shared" si="4"/>
        <v>3.1709399183733168E-6</v>
      </c>
      <c r="D160" s="17">
        <v>13.899999599999999</v>
      </c>
      <c r="E160" s="8">
        <v>3.1867900800000001E-6</v>
      </c>
    </row>
    <row r="161" spans="1:5">
      <c r="A161" s="17">
        <v>14</v>
      </c>
      <c r="B161" s="7">
        <f t="shared" si="5"/>
        <v>9.5135194989982578E-6</v>
      </c>
      <c r="C161" s="16">
        <f t="shared" si="4"/>
        <v>3.1081512119360302E-6</v>
      </c>
      <c r="D161" s="17">
        <v>14</v>
      </c>
      <c r="E161" s="8">
        <v>3.1236900200000001E-6</v>
      </c>
    </row>
    <row r="162" spans="1:5">
      <c r="A162" s="17">
        <v>14.100000400000001</v>
      </c>
      <c r="B162" s="7">
        <f t="shared" si="5"/>
        <v>9.5231524964762877E-6</v>
      </c>
      <c r="C162" s="16">
        <f t="shared" si="4"/>
        <v>3.0466058029933455E-6</v>
      </c>
      <c r="D162" s="17">
        <v>14.100000400000001</v>
      </c>
      <c r="E162" s="8">
        <v>3.0618400600000001E-6</v>
      </c>
    </row>
    <row r="163" spans="1:5">
      <c r="A163" s="17">
        <v>14.199999800000001</v>
      </c>
      <c r="B163" s="7">
        <f t="shared" si="5"/>
        <v>9.5325946535877807E-6</v>
      </c>
      <c r="C163" s="16">
        <f t="shared" si="4"/>
        <v>2.9862789722604195E-6</v>
      </c>
      <c r="D163" s="17">
        <v>14.199999800000001</v>
      </c>
      <c r="E163" s="8">
        <v>3.0012099599999999E-6</v>
      </c>
    </row>
    <row r="164" spans="1:5">
      <c r="A164" s="17">
        <v>14.300000199999999</v>
      </c>
      <c r="B164" s="7">
        <f t="shared" si="5"/>
        <v>9.5418499362022653E-6</v>
      </c>
      <c r="C164" s="16">
        <f t="shared" si="4"/>
        <v>2.9271464661029832E-6</v>
      </c>
      <c r="D164" s="17">
        <v>14.300000199999999</v>
      </c>
      <c r="E164" s="8">
        <v>2.9417899399999999E-6</v>
      </c>
    </row>
    <row r="165" spans="1:5">
      <c r="A165" s="17">
        <v>14.399999599999999</v>
      </c>
      <c r="B165" s="7">
        <f t="shared" si="5"/>
        <v>9.5509218614006821E-6</v>
      </c>
      <c r="C165" s="16">
        <f t="shared" si="4"/>
        <v>2.8691850884880668E-6</v>
      </c>
      <c r="D165" s="17">
        <v>14.399999599999999</v>
      </c>
      <c r="E165" s="8">
        <v>2.88353999E-6</v>
      </c>
    </row>
    <row r="166" spans="1:5">
      <c r="A166" s="17">
        <v>14.5</v>
      </c>
      <c r="B166" s="7">
        <f t="shared" si="5"/>
        <v>9.5598142395487435E-6</v>
      </c>
      <c r="C166" s="16">
        <f t="shared" si="4"/>
        <v>2.8123715174735349E-6</v>
      </c>
      <c r="D166" s="17">
        <v>14.5</v>
      </c>
      <c r="E166" s="8">
        <v>2.8264400999999999E-6</v>
      </c>
    </row>
    <row r="167" spans="1:5">
      <c r="A167" s="17">
        <v>14.600000400000001</v>
      </c>
      <c r="B167" s="7">
        <f t="shared" si="5"/>
        <v>9.5685305361147117E-6</v>
      </c>
      <c r="C167" s="16">
        <f t="shared" si="4"/>
        <v>2.7566829285538724E-6</v>
      </c>
      <c r="D167" s="17">
        <v>14.600000400000001</v>
      </c>
      <c r="E167" s="8">
        <v>2.7704800199999999E-6</v>
      </c>
    </row>
    <row r="168" spans="1:5">
      <c r="A168" s="17">
        <v>14.699999800000001</v>
      </c>
      <c r="B168" s="7">
        <f t="shared" si="5"/>
        <v>9.577074153176165E-6</v>
      </c>
      <c r="C168" s="16">
        <f t="shared" si="4"/>
        <v>2.7020969547951976E-6</v>
      </c>
      <c r="D168" s="17">
        <v>14.699999800000001</v>
      </c>
      <c r="E168" s="8">
        <v>2.7156199799999999E-6</v>
      </c>
    </row>
    <row r="169" spans="1:5">
      <c r="A169" s="17">
        <v>14.800000199999999</v>
      </c>
      <c r="B169" s="7">
        <f t="shared" si="5"/>
        <v>9.5854486792002477E-6</v>
      </c>
      <c r="C169" s="16">
        <f t="shared" si="4"/>
        <v>2.648591650601708E-6</v>
      </c>
      <c r="D169" s="17">
        <v>14.800000199999999</v>
      </c>
      <c r="E169" s="8">
        <v>2.6618499800000001E-6</v>
      </c>
    </row>
    <row r="170" spans="1:5">
      <c r="A170" s="17">
        <v>14.899999599999999</v>
      </c>
      <c r="B170" s="7">
        <f t="shared" si="5"/>
        <v>9.5936572965733992E-6</v>
      </c>
      <c r="C170" s="16">
        <f t="shared" si="4"/>
        <v>2.5961460273348201E-6</v>
      </c>
      <c r="D170" s="17">
        <v>14.899999599999999</v>
      </c>
      <c r="E170" s="8">
        <v>2.6091399799999999E-6</v>
      </c>
    </row>
    <row r="171" spans="1:5">
      <c r="A171" s="17">
        <v>15</v>
      </c>
      <c r="B171" s="7">
        <f t="shared" si="5"/>
        <v>9.6017034530570896E-6</v>
      </c>
      <c r="C171" s="16">
        <f t="shared" si="4"/>
        <v>2.544738982428628E-6</v>
      </c>
      <c r="D171" s="17">
        <v>15</v>
      </c>
      <c r="E171" s="8">
        <v>2.5574799999999999E-6</v>
      </c>
    </row>
    <row r="172" spans="1:5">
      <c r="A172" s="17">
        <v>15.100000400000001</v>
      </c>
      <c r="B172" s="7">
        <f t="shared" si="5"/>
        <v>9.6095902843366763E-6</v>
      </c>
      <c r="C172" s="16">
        <f t="shared" si="4"/>
        <v>2.4943498634164922E-6</v>
      </c>
      <c r="D172" s="17">
        <v>15.100000400000001</v>
      </c>
      <c r="E172" s="8">
        <v>2.5068400200000002E-6</v>
      </c>
    </row>
    <row r="173" spans="1:5">
      <c r="A173" s="17">
        <v>15.199999800000001</v>
      </c>
      <c r="B173" s="7">
        <f t="shared" si="5"/>
        <v>9.617320868739249E-6</v>
      </c>
      <c r="C173" s="16">
        <f t="shared" si="4"/>
        <v>2.4449584318597155E-6</v>
      </c>
      <c r="D173" s="17">
        <v>15.199999800000001</v>
      </c>
      <c r="E173" s="8">
        <v>2.4572000299999999E-6</v>
      </c>
    </row>
    <row r="174" spans="1:5">
      <c r="A174" s="17">
        <v>15.300000199999999</v>
      </c>
      <c r="B174" s="7">
        <f t="shared" si="5"/>
        <v>9.6248984532441549E-6</v>
      </c>
      <c r="C174" s="16">
        <f t="shared" si="4"/>
        <v>2.3965448305620496E-6</v>
      </c>
      <c r="D174" s="17">
        <v>15.300000199999999</v>
      </c>
      <c r="E174" s="8">
        <v>2.4085500200000001E-6</v>
      </c>
    </row>
    <row r="175" spans="1:5">
      <c r="A175" s="17">
        <v>15.399999599999999</v>
      </c>
      <c r="B175" s="7">
        <f t="shared" si="5"/>
        <v>9.6323259173937221E-6</v>
      </c>
      <c r="C175" s="16">
        <f t="shared" si="4"/>
        <v>2.3490900682179518E-6</v>
      </c>
      <c r="D175" s="17">
        <v>15.399999599999999</v>
      </c>
      <c r="E175" s="8">
        <v>2.3608599799999998E-6</v>
      </c>
    </row>
    <row r="176" spans="1:5">
      <c r="A176" s="17">
        <v>15.5</v>
      </c>
      <c r="B176" s="7">
        <f t="shared" si="5"/>
        <v>9.639606380851539E-6</v>
      </c>
      <c r="C176" s="16">
        <f t="shared" si="4"/>
        <v>2.3025750504361742E-6</v>
      </c>
      <c r="D176" s="17">
        <v>15.5</v>
      </c>
      <c r="E176" s="8">
        <v>2.3141099100000002E-6</v>
      </c>
    </row>
    <row r="177" spans="1:5">
      <c r="A177" s="17">
        <v>15.600000400000001</v>
      </c>
      <c r="B177" s="7">
        <f t="shared" si="5"/>
        <v>9.646742680903044E-6</v>
      </c>
      <c r="C177" s="16">
        <f t="shared" si="4"/>
        <v>2.2569810900921271E-6</v>
      </c>
      <c r="D177" s="17">
        <v>15.600000400000001</v>
      </c>
      <c r="E177" s="8">
        <v>2.2682900200000002E-6</v>
      </c>
    </row>
    <row r="178" spans="1:5">
      <c r="A178" s="17">
        <v>15.699999800000001</v>
      </c>
      <c r="B178" s="7">
        <f t="shared" si="5"/>
        <v>9.6537376029337778E-6</v>
      </c>
      <c r="C178" s="16">
        <f t="shared" si="4"/>
        <v>2.2122898746891937E-6</v>
      </c>
      <c r="D178" s="17">
        <v>15.699999800000001</v>
      </c>
      <c r="E178" s="8">
        <v>2.2233800799999999E-6</v>
      </c>
    </row>
    <row r="179" spans="1:5">
      <c r="A179" s="17">
        <v>15.800000199999999</v>
      </c>
      <c r="B179" s="7">
        <f t="shared" si="5"/>
        <v>9.6605940849321467E-6</v>
      </c>
      <c r="C179" s="16">
        <f t="shared" si="4"/>
        <v>2.1684834366931907E-6</v>
      </c>
      <c r="D179" s="17">
        <v>15.800000199999999</v>
      </c>
      <c r="E179" s="8">
        <v>2.17935008E-6</v>
      </c>
    </row>
    <row r="180" spans="1:5">
      <c r="A180" s="17">
        <v>15.899999599999999</v>
      </c>
      <c r="B180" s="7">
        <f t="shared" si="5"/>
        <v>9.6673147324157943E-6</v>
      </c>
      <c r="C180" s="16">
        <f t="shared" si="4"/>
        <v>2.1255445920602454E-6</v>
      </c>
      <c r="D180" s="17">
        <v>15.899999599999999</v>
      </c>
      <c r="E180" s="8">
        <v>2.1362000099999998E-6</v>
      </c>
    </row>
    <row r="181" spans="1:5">
      <c r="A181" s="17">
        <v>16</v>
      </c>
      <c r="B181" s="7">
        <f t="shared" si="5"/>
        <v>9.6739023681730716E-6</v>
      </c>
      <c r="C181" s="16">
        <f t="shared" si="4"/>
        <v>2.0834560634706886E-6</v>
      </c>
      <c r="D181" s="17">
        <v>16</v>
      </c>
      <c r="E181" s="8">
        <v>2.0939000900000001E-6</v>
      </c>
    </row>
    <row r="182" spans="1:5">
      <c r="A182" s="17">
        <v>16.100000399999999</v>
      </c>
      <c r="B182" s="7">
        <f t="shared" si="5"/>
        <v>9.6803595594860064E-6</v>
      </c>
      <c r="C182" s="16">
        <f t="shared" si="4"/>
        <v>2.0422009421149457E-6</v>
      </c>
      <c r="D182" s="17">
        <v>16.100000399999999</v>
      </c>
      <c r="E182" s="8">
        <v>2.0524400999999998E-6</v>
      </c>
    </row>
    <row r="183" spans="1:5">
      <c r="A183" s="17">
        <v>16.200000800000002</v>
      </c>
      <c r="B183" s="7">
        <f t="shared" si="5"/>
        <v>9.6866888893378863E-6</v>
      </c>
      <c r="C183" s="16">
        <f t="shared" si="4"/>
        <v>2.0017627208230944E-6</v>
      </c>
      <c r="D183" s="17">
        <v>16.200000800000002</v>
      </c>
      <c r="E183" s="8">
        <v>2.0118000100000002E-6</v>
      </c>
    </row>
    <row r="184" spans="1:5">
      <c r="A184" s="17">
        <v>16.299999199999998</v>
      </c>
      <c r="B184" s="7">
        <f t="shared" si="5"/>
        <v>9.6928927667224312E-6</v>
      </c>
      <c r="C184" s="16">
        <f t="shared" si="4"/>
        <v>1.96212489248977E-6</v>
      </c>
      <c r="D184" s="17">
        <v>16.299999199999998</v>
      </c>
      <c r="E184" s="8">
        <v>1.9719600500000001E-6</v>
      </c>
    </row>
    <row r="185" spans="1:5">
      <c r="A185" s="17">
        <v>16.399999600000001</v>
      </c>
      <c r="B185" s="7">
        <f t="shared" si="5"/>
        <v>9.6989739214605051E-6</v>
      </c>
      <c r="C185" s="16">
        <f t="shared" si="4"/>
        <v>1.9232722806000899E-6</v>
      </c>
      <c r="D185" s="17">
        <v>16.399999600000001</v>
      </c>
      <c r="E185" s="8">
        <v>1.93291999E-6</v>
      </c>
    </row>
    <row r="186" spans="1:5">
      <c r="A186" s="17">
        <v>16.5</v>
      </c>
      <c r="B186" s="7">
        <f t="shared" si="5"/>
        <v>9.704934660790081E-6</v>
      </c>
      <c r="C186" s="16">
        <f t="shared" si="4"/>
        <v>1.8851890050621807E-6</v>
      </c>
      <c r="D186" s="17">
        <v>16.5</v>
      </c>
      <c r="E186" s="8">
        <v>1.8946500400000001E-6</v>
      </c>
    </row>
    <row r="187" spans="1:5">
      <c r="A187" s="17">
        <v>16.600000399999999</v>
      </c>
      <c r="B187" s="7">
        <f t="shared" si="5"/>
        <v>9.710777369105441E-6</v>
      </c>
      <c r="C187" s="16">
        <f t="shared" ref="C187:C250" si="6">D$1*(B187 - B87)</f>
        <v>1.8478598275738925E-6</v>
      </c>
      <c r="D187" s="17">
        <v>16.600000399999999</v>
      </c>
      <c r="E187" s="8">
        <v>1.8571299700000001E-6</v>
      </c>
    </row>
    <row r="188" spans="1:5">
      <c r="A188" s="17">
        <v>16.700000800000002</v>
      </c>
      <c r="B188" s="7">
        <f t="shared" si="5"/>
        <v>9.716504383586514E-6</v>
      </c>
      <c r="C188" s="16">
        <f t="shared" si="6"/>
        <v>1.8112698118302064E-6</v>
      </c>
      <c r="D188" s="17">
        <v>16.700000800000002</v>
      </c>
      <c r="E188" s="8">
        <v>1.82036001E-6</v>
      </c>
    </row>
    <row r="189" spans="1:5">
      <c r="A189" s="17">
        <v>16.799999199999998</v>
      </c>
      <c r="B189" s="7">
        <f t="shared" si="5"/>
        <v>9.7221178839809576E-6</v>
      </c>
      <c r="C189" s="16">
        <f t="shared" si="6"/>
        <v>1.7754040215845282E-6</v>
      </c>
      <c r="D189" s="17">
        <v>16.799999199999998</v>
      </c>
      <c r="E189" s="8">
        <v>1.78431003E-6</v>
      </c>
    </row>
    <row r="190" spans="1:5">
      <c r="A190" s="17">
        <v>16.899999600000001</v>
      </c>
      <c r="B190" s="7">
        <f t="shared" si="5"/>
        <v>9.7276203403328352E-6</v>
      </c>
      <c r="C190" s="16">
        <f t="shared" si="6"/>
        <v>1.7402487245583192E-6</v>
      </c>
      <c r="D190" s="17">
        <v>16.899999600000001</v>
      </c>
      <c r="E190" s="8">
        <v>1.7489800300000001E-6</v>
      </c>
    </row>
    <row r="191" spans="1:5">
      <c r="A191" s="17">
        <v>17</v>
      </c>
      <c r="B191" s="7">
        <f t="shared" si="5"/>
        <v>9.7330138403173926E-6</v>
      </c>
      <c r="C191" s="16">
        <f t="shared" si="6"/>
        <v>1.7057895518502438E-6</v>
      </c>
      <c r="D191" s="17">
        <v>17</v>
      </c>
      <c r="E191" s="8">
        <v>1.7143499899999999E-6</v>
      </c>
    </row>
    <row r="192" spans="1:5">
      <c r="A192" s="17">
        <v>17.100000399999999</v>
      </c>
      <c r="B192" s="7">
        <f t="shared" si="5"/>
        <v>9.7383005414238E-6</v>
      </c>
      <c r="C192" s="16">
        <f t="shared" si="6"/>
        <v>1.6720127152743344E-6</v>
      </c>
      <c r="D192" s="17">
        <v>17.100000399999999</v>
      </c>
      <c r="E192" s="8">
        <v>1.68041004E-6</v>
      </c>
    </row>
    <row r="193" spans="1:5">
      <c r="A193" s="17">
        <v>17.200000800000002</v>
      </c>
      <c r="B193" s="7">
        <f t="shared" si="5"/>
        <v>9.7434825584199094E-6</v>
      </c>
      <c r="C193" s="16">
        <f t="shared" si="6"/>
        <v>1.6389046999029226E-6</v>
      </c>
      <c r="D193" s="17">
        <v>17.200000800000002</v>
      </c>
      <c r="E193" s="8">
        <v>1.64713003E-6</v>
      </c>
    </row>
    <row r="194" spans="1:5">
      <c r="A194" s="17">
        <v>17.299999199999998</v>
      </c>
      <c r="B194" s="7">
        <f t="shared" si="5"/>
        <v>9.7485618636229601E-6</v>
      </c>
      <c r="C194" s="16">
        <f t="shared" si="6"/>
        <v>1.6064519908612033E-6</v>
      </c>
      <c r="D194" s="17">
        <v>17.299999199999998</v>
      </c>
      <c r="E194" s="8">
        <v>1.6145199900000001E-6</v>
      </c>
    </row>
    <row r="195" spans="1:5">
      <c r="A195" s="17">
        <v>17.399999600000001</v>
      </c>
      <c r="B195" s="7">
        <f t="shared" si="5"/>
        <v>9.7535406920212475E-6</v>
      </c>
      <c r="C195" s="16">
        <f t="shared" si="6"/>
        <v>1.574642162669718E-6</v>
      </c>
      <c r="D195" s="17">
        <v>17.399999600000001</v>
      </c>
      <c r="E195" s="8">
        <v>1.58255E-6</v>
      </c>
    </row>
    <row r="196" spans="1:5">
      <c r="A196" s="17">
        <v>17.5</v>
      </c>
      <c r="B196" s="7">
        <f t="shared" si="5"/>
        <v>9.7584209326214534E-6</v>
      </c>
      <c r="C196" s="16">
        <f t="shared" si="6"/>
        <v>1.5434622138088908E-6</v>
      </c>
      <c r="D196" s="17">
        <v>17.5</v>
      </c>
      <c r="E196" s="8">
        <v>1.55120995E-6</v>
      </c>
    </row>
    <row r="197" spans="1:5">
      <c r="A197" s="17">
        <v>17.600000399999999</v>
      </c>
      <c r="B197" s="7">
        <f t="shared" si="5"/>
        <v>9.763204537600503E-6</v>
      </c>
      <c r="C197" s="16">
        <f t="shared" si="6"/>
        <v>1.5128996682121229E-6</v>
      </c>
      <c r="D197" s="17">
        <v>17.600000399999999</v>
      </c>
      <c r="E197" s="8">
        <v>1.5204999499999999E-6</v>
      </c>
    </row>
    <row r="198" spans="1:5">
      <c r="A198" s="17">
        <v>17.700000800000002</v>
      </c>
      <c r="B198" s="7">
        <f t="shared" si="5"/>
        <v>9.7678934204794803E-6</v>
      </c>
      <c r="C198" s="16">
        <f t="shared" si="6"/>
        <v>1.482942297067159E-6</v>
      </c>
      <c r="D198" s="17">
        <v>17.700000800000002</v>
      </c>
      <c r="E198" s="8">
        <v>1.4903899900000001E-6</v>
      </c>
    </row>
    <row r="199" spans="1:5">
      <c r="A199" s="17">
        <v>17.799999199999998</v>
      </c>
      <c r="B199" s="7">
        <f t="shared" si="5"/>
        <v>9.7724893658848262E-6</v>
      </c>
      <c r="C199" s="16">
        <f t="shared" si="6"/>
        <v>1.4535778716095789E-6</v>
      </c>
      <c r="D199" s="17">
        <v>17.799999199999998</v>
      </c>
      <c r="E199" s="8">
        <v>1.46087996E-6</v>
      </c>
    </row>
    <row r="200" spans="1:5">
      <c r="A200" s="17">
        <v>17.899999600000001</v>
      </c>
      <c r="B200" s="7">
        <f t="shared" si="5"/>
        <v>9.7769943961175768E-6</v>
      </c>
      <c r="C200" s="16">
        <f t="shared" si="6"/>
        <v>1.4247951488006275E-6</v>
      </c>
      <c r="D200" s="17">
        <v>17.899999600000001</v>
      </c>
      <c r="E200" s="8">
        <v>1.43195996E-6</v>
      </c>
    </row>
    <row r="201" spans="1:5">
      <c r="A201" s="17">
        <v>18</v>
      </c>
      <c r="B201" s="7">
        <f t="shared" si="5"/>
        <v>9.7814102204216609E-6</v>
      </c>
      <c r="C201" s="16">
        <f t="shared" si="6"/>
        <v>1.3965823643789035E-6</v>
      </c>
      <c r="D201" s="17">
        <v>18</v>
      </c>
      <c r="E201" s="8">
        <v>1.4035999799999999E-6</v>
      </c>
    </row>
    <row r="202" spans="1:5">
      <c r="A202" s="17">
        <v>18.100000399999999</v>
      </c>
      <c r="B202" s="7">
        <f t="shared" si="5"/>
        <v>9.785738605199807E-6</v>
      </c>
      <c r="C202" s="16">
        <f t="shared" si="6"/>
        <v>1.3689280775463183E-6</v>
      </c>
      <c r="D202" s="17">
        <v>18.100000399999999</v>
      </c>
      <c r="E202" s="8">
        <v>1.37581003E-6</v>
      </c>
    </row>
    <row r="203" spans="1:5">
      <c r="A203" s="17">
        <v>18.200000800000002</v>
      </c>
      <c r="B203" s="7">
        <f t="shared" si="5"/>
        <v>9.7899812818774953E-6</v>
      </c>
      <c r="C203" s="16">
        <f t="shared" si="6"/>
        <v>1.3418216791745633E-6</v>
      </c>
      <c r="D203" s="17">
        <v>18.200000800000002</v>
      </c>
      <c r="E203" s="8">
        <v>1.34856998E-6</v>
      </c>
    </row>
    <row r="204" spans="1:5">
      <c r="A204" s="17">
        <v>18.299999199999998</v>
      </c>
      <c r="B204" s="7">
        <f t="shared" si="5"/>
        <v>9.7941398652515011E-6</v>
      </c>
      <c r="C204" s="16">
        <f t="shared" si="6"/>
        <v>1.3152516482614146E-6</v>
      </c>
      <c r="D204" s="17">
        <v>18.299999199999998</v>
      </c>
      <c r="E204" s="8">
        <v>1.32186995E-6</v>
      </c>
    </row>
    <row r="205" spans="1:5">
      <c r="A205" s="17">
        <v>18.399999600000001</v>
      </c>
      <c r="B205" s="7">
        <f t="shared" si="5"/>
        <v>9.7982161851754792E-6</v>
      </c>
      <c r="C205" s="16">
        <f t="shared" si="6"/>
        <v>1.2892081068061397E-6</v>
      </c>
      <c r="D205" s="17">
        <v>18.399999600000001</v>
      </c>
      <c r="E205" s="8">
        <v>1.29569003E-6</v>
      </c>
    </row>
    <row r="206" spans="1:5">
      <c r="A206" s="17">
        <v>18.5</v>
      </c>
      <c r="B206" s="7">
        <f t="shared" si="5"/>
        <v>9.802211788237286E-6</v>
      </c>
      <c r="C206" s="16">
        <f t="shared" si="6"/>
        <v>1.2636799806591628E-6</v>
      </c>
      <c r="D206" s="17">
        <v>18.5</v>
      </c>
      <c r="E206" s="8">
        <v>1.27004E-6</v>
      </c>
    </row>
    <row r="207" spans="1:5">
      <c r="A207" s="17">
        <v>18.600000399999999</v>
      </c>
      <c r="B207" s="7">
        <f t="shared" si="5"/>
        <v>9.80612827274421E-6</v>
      </c>
      <c r="C207" s="16">
        <f t="shared" si="6"/>
        <v>1.2386573471639408E-6</v>
      </c>
      <c r="D207" s="17">
        <v>18.600000399999999</v>
      </c>
      <c r="E207" s="8">
        <v>1.24488997E-6</v>
      </c>
    </row>
    <row r="208" spans="1:5">
      <c r="A208" s="17">
        <v>18.700000800000002</v>
      </c>
      <c r="B208" s="7">
        <f t="shared" si="5"/>
        <v>9.8099672053548107E-6</v>
      </c>
      <c r="C208" s="16">
        <f t="shared" si="6"/>
        <v>1.2141304636489873E-6</v>
      </c>
      <c r="D208" s="17">
        <v>18.700000800000002</v>
      </c>
      <c r="E208" s="8">
        <v>1.22024005E-6</v>
      </c>
    </row>
    <row r="209" spans="1:5">
      <c r="A209" s="17">
        <v>18.799999199999998</v>
      </c>
      <c r="B209" s="7">
        <f t="shared" si="5"/>
        <v>9.813730047197634E-6</v>
      </c>
      <c r="C209" s="16">
        <f t="shared" si="6"/>
        <v>1.1900889054803987E-6</v>
      </c>
      <c r="D209" s="17">
        <v>18.799999199999998</v>
      </c>
      <c r="E209" s="8">
        <v>1.19608001E-6</v>
      </c>
    </row>
    <row r="210" spans="1:5">
      <c r="A210" s="17">
        <v>18.899999600000001</v>
      </c>
      <c r="B210" s="7">
        <f t="shared" si="5"/>
        <v>9.8174184539927338E-6</v>
      </c>
      <c r="C210" s="16">
        <f t="shared" si="6"/>
        <v>1.1665237346734942E-6</v>
      </c>
      <c r="D210" s="17">
        <v>18.899999600000001</v>
      </c>
      <c r="E210" s="8">
        <v>1.1723899399999999E-6</v>
      </c>
    </row>
    <row r="211" spans="1:5">
      <c r="A211" s="17">
        <v>19</v>
      </c>
      <c r="B211" s="7">
        <f t="shared" si="5"/>
        <v>9.821033825150676E-6</v>
      </c>
      <c r="C211" s="16">
        <f t="shared" si="6"/>
        <v>1.1434249309233671E-6</v>
      </c>
      <c r="D211" s="17">
        <v>19</v>
      </c>
      <c r="E211" s="8">
        <v>1.14917998E-6</v>
      </c>
    </row>
    <row r="212" spans="1:5">
      <c r="A212" s="17">
        <v>19.100000399999999</v>
      </c>
      <c r="B212" s="7">
        <f t="shared" si="5"/>
        <v>9.8245776068797007E-6</v>
      </c>
      <c r="C212" s="16">
        <f t="shared" si="6"/>
        <v>1.1207835158390937E-6</v>
      </c>
      <c r="D212" s="17">
        <v>19.100000399999999</v>
      </c>
      <c r="E212" s="8">
        <v>1.1264299900000001E-6</v>
      </c>
    </row>
    <row r="213" spans="1:5">
      <c r="A213" s="17">
        <v>19.200000800000002</v>
      </c>
      <c r="B213" s="7">
        <f t="shared" ref="B213:B276" si="7">B$9 + B$10*(1 - EXP(-A213/B$11))</f>
        <v>9.8280512167510887E-6</v>
      </c>
      <c r="C213" s="16">
        <f t="shared" si="6"/>
        <v>1.0985906738869522E-6</v>
      </c>
      <c r="D213" s="17">
        <v>19.200000800000002</v>
      </c>
      <c r="E213" s="8">
        <v>1.10411997E-6</v>
      </c>
    </row>
    <row r="214" spans="1:5">
      <c r="A214" s="17">
        <v>19.299999199999998</v>
      </c>
      <c r="B214" s="7">
        <f t="shared" si="7"/>
        <v>9.8314559768486281E-6</v>
      </c>
      <c r="C214" s="16">
        <f t="shared" si="6"/>
        <v>1.0768369724681266E-6</v>
      </c>
      <c r="D214" s="17">
        <v>19.299999199999998</v>
      </c>
      <c r="E214" s="8">
        <v>1.0822600400000001E-6</v>
      </c>
    </row>
    <row r="215" spans="1:5">
      <c r="A215" s="17">
        <v>19.399999600000001</v>
      </c>
      <c r="B215" s="7">
        <f t="shared" si="7"/>
        <v>9.8347933853297723E-6</v>
      </c>
      <c r="C215" s="16">
        <f t="shared" si="6"/>
        <v>1.0555143241596312E-6</v>
      </c>
      <c r="D215" s="17">
        <v>19.399999600000001</v>
      </c>
      <c r="E215" s="8">
        <v>1.0608299599999999E-6</v>
      </c>
    </row>
    <row r="216" spans="1:5">
      <c r="A216" s="17">
        <v>19.5</v>
      </c>
      <c r="B216" s="7">
        <f t="shared" si="7"/>
        <v>9.8380647084335659E-6</v>
      </c>
      <c r="C216" s="16">
        <f t="shared" si="6"/>
        <v>1.0346136622146449E-6</v>
      </c>
      <c r="D216" s="17">
        <v>19.5</v>
      </c>
      <c r="E216" s="8">
        <v>1.0398199499999999E-6</v>
      </c>
    </row>
    <row r="217" spans="1:5">
      <c r="A217" s="17">
        <v>19.600000399999999</v>
      </c>
      <c r="B217" s="7">
        <f t="shared" si="7"/>
        <v>9.8412712547433386E-6</v>
      </c>
      <c r="C217" s="16">
        <f t="shared" si="6"/>
        <v>1.014126862649108E-6</v>
      </c>
      <c r="D217" s="17">
        <v>19.600000399999999</v>
      </c>
      <c r="E217" s="8">
        <v>1.0192300099999999E-6</v>
      </c>
    </row>
    <row r="218" spans="1:5">
      <c r="A218" s="17">
        <v>19.700000800000002</v>
      </c>
      <c r="B218" s="7">
        <f t="shared" si="7"/>
        <v>9.8444143069306302E-6</v>
      </c>
      <c r="C218" s="16">
        <f t="shared" si="6"/>
        <v>9.9404594883825467E-7</v>
      </c>
      <c r="D218" s="17">
        <v>19.700000800000002</v>
      </c>
      <c r="E218" s="8">
        <v>9.9905298600000002E-7</v>
      </c>
    </row>
    <row r="219" spans="1:5">
      <c r="A219" s="17">
        <v>19.799999199999998</v>
      </c>
      <c r="B219" s="7">
        <f t="shared" si="7"/>
        <v>9.8474950612663198E-6</v>
      </c>
      <c r="C219" s="16">
        <f t="shared" si="6"/>
        <v>9.7436238581372059E-7</v>
      </c>
      <c r="D219" s="17">
        <v>19.799999199999998</v>
      </c>
      <c r="E219" s="8">
        <v>9.7927102200000001E-7</v>
      </c>
    </row>
    <row r="220" spans="1:5">
      <c r="A220" s="17">
        <v>19.899999600000001</v>
      </c>
      <c r="B220" s="7">
        <f t="shared" si="7"/>
        <v>9.850514873339329E-6</v>
      </c>
      <c r="C220" s="16">
        <f t="shared" si="6"/>
        <v>9.5506885577257003E-7</v>
      </c>
      <c r="D220" s="17">
        <v>19.899999600000001</v>
      </c>
      <c r="E220" s="8">
        <v>9.5988104900000009E-7</v>
      </c>
    </row>
    <row r="221" spans="1:5">
      <c r="A221" s="17">
        <v>20</v>
      </c>
      <c r="B221" s="7">
        <f t="shared" si="7"/>
        <v>9.8534748888901276E-6</v>
      </c>
      <c r="C221" s="16">
        <f t="shared" si="6"/>
        <v>9.3615715478302842E-7</v>
      </c>
      <c r="D221" s="17">
        <v>20</v>
      </c>
      <c r="E221" s="8">
        <v>9.40874997E-7</v>
      </c>
    </row>
    <row r="222" spans="1:5">
      <c r="A222" s="17">
        <v>20.100000399999999</v>
      </c>
      <c r="B222" s="7">
        <f t="shared" si="7"/>
        <v>9.8563762919738751E-6</v>
      </c>
      <c r="C222" s="16">
        <f t="shared" si="6"/>
        <v>9.1761992771535435E-7</v>
      </c>
      <c r="D222" s="17">
        <v>20.100000399999999</v>
      </c>
      <c r="E222" s="8">
        <v>9.2224502199999998E-7</v>
      </c>
    </row>
    <row r="223" spans="1:5">
      <c r="A223" s="17">
        <v>20.200000800000002</v>
      </c>
      <c r="B223" s="7">
        <f t="shared" si="7"/>
        <v>9.8592202431997764E-6</v>
      </c>
      <c r="C223" s="16">
        <f t="shared" si="6"/>
        <v>8.9944997183637169E-7</v>
      </c>
      <c r="D223" s="17">
        <v>20.200000800000002</v>
      </c>
      <c r="E223" s="8">
        <v>9.0398401699999999E-7</v>
      </c>
    </row>
    <row r="224" spans="1:5">
      <c r="A224" s="17">
        <v>20.299999199999998</v>
      </c>
      <c r="B224" s="7">
        <f t="shared" si="7"/>
        <v>9.8620078249984852E-6</v>
      </c>
      <c r="C224" s="16">
        <f t="shared" si="6"/>
        <v>8.8163954337177984E-7</v>
      </c>
      <c r="D224" s="17">
        <v>20.299999199999998</v>
      </c>
      <c r="E224" s="8">
        <v>8.8608402400000004E-7</v>
      </c>
    </row>
    <row r="225" spans="1:5">
      <c r="A225" s="17">
        <v>20.399999600000001</v>
      </c>
      <c r="B225" s="7">
        <f t="shared" si="7"/>
        <v>9.8647402639575807E-6</v>
      </c>
      <c r="C225" s="16">
        <f t="shared" si="6"/>
        <v>8.641820415015787E-7</v>
      </c>
      <c r="D225" s="17">
        <v>20.399999600000001</v>
      </c>
      <c r="E225" s="8">
        <v>8.6853901800000001E-7</v>
      </c>
    </row>
    <row r="226" spans="1:5">
      <c r="A226" s="17">
        <v>20.5</v>
      </c>
      <c r="B226" s="7">
        <f t="shared" si="7"/>
        <v>9.8674185967859118E-6</v>
      </c>
      <c r="C226" s="16">
        <f t="shared" si="6"/>
        <v>8.4707002280976583E-7</v>
      </c>
      <c r="D226" s="17">
        <v>20.5</v>
      </c>
      <c r="E226" s="8">
        <v>8.5134200800000003E-7</v>
      </c>
    </row>
    <row r="227" spans="1:5">
      <c r="A227" s="17">
        <v>20.600000399999999</v>
      </c>
      <c r="B227" s="7">
        <f t="shared" si="7"/>
        <v>9.870043894860891E-6</v>
      </c>
      <c r="C227" s="16">
        <f t="shared" si="6"/>
        <v>8.3029684613230412E-7</v>
      </c>
      <c r="D227" s="17">
        <v>20.600000399999999</v>
      </c>
      <c r="E227" s="8">
        <v>8.3448497899999995E-7</v>
      </c>
    </row>
    <row r="228" spans="1:5">
      <c r="A228" s="17">
        <v>20.700000800000002</v>
      </c>
      <c r="B228" s="7">
        <f t="shared" si="7"/>
        <v>9.8726172083451556E-6</v>
      </c>
      <c r="C228" s="16">
        <f t="shared" si="6"/>
        <v>8.1385599016893963E-7</v>
      </c>
      <c r="D228" s="17">
        <v>20.700000800000002</v>
      </c>
      <c r="E228" s="8">
        <v>8.1796099500000001E-7</v>
      </c>
    </row>
    <row r="229" spans="1:5">
      <c r="A229" s="17">
        <v>20.799999199999998</v>
      </c>
      <c r="B229" s="7">
        <f t="shared" si="7"/>
        <v>9.8751395166624622E-6</v>
      </c>
      <c r="C229" s="16">
        <f t="shared" si="6"/>
        <v>7.9774044806292457E-7</v>
      </c>
      <c r="D229" s="17">
        <v>20.799999199999998</v>
      </c>
      <c r="E229" s="8">
        <v>8.0176499799999997E-7</v>
      </c>
    </row>
    <row r="230" spans="1:5">
      <c r="A230" s="17">
        <v>20.899999600000001</v>
      </c>
      <c r="B230" s="7">
        <f t="shared" si="7"/>
        <v>9.8776119296751518E-6</v>
      </c>
      <c r="C230" s="16">
        <f t="shared" si="6"/>
        <v>7.819442471453324E-7</v>
      </c>
      <c r="D230" s="17">
        <v>20.899999600000001</v>
      </c>
      <c r="E230" s="8">
        <v>7.8588999499999999E-7</v>
      </c>
    </row>
    <row r="231" spans="1:5">
      <c r="A231" s="17">
        <v>21</v>
      </c>
      <c r="B231" s="7">
        <f t="shared" si="7"/>
        <v>9.880035385436179E-6</v>
      </c>
      <c r="C231" s="16">
        <f t="shared" si="6"/>
        <v>7.6646065233484925E-7</v>
      </c>
      <c r="D231" s="17">
        <v>21</v>
      </c>
      <c r="E231" s="8">
        <v>7.7032797199999999E-7</v>
      </c>
    </row>
    <row r="232" spans="1:5">
      <c r="A232" s="17">
        <v>21.100000399999999</v>
      </c>
      <c r="B232" s="7">
        <f t="shared" si="7"/>
        <v>9.882410853367918E-6</v>
      </c>
      <c r="C232" s="16">
        <f t="shared" si="6"/>
        <v>7.5128365445775451E-7</v>
      </c>
      <c r="D232" s="17">
        <v>21.100000399999999</v>
      </c>
      <c r="E232" s="8">
        <v>7.5507500699999995E-7</v>
      </c>
    </row>
    <row r="233" spans="1:5">
      <c r="A233" s="17">
        <v>21.200000800000002</v>
      </c>
      <c r="B233" s="7">
        <f t="shared" si="7"/>
        <v>9.8847392836968183E-6</v>
      </c>
      <c r="C233" s="16">
        <f t="shared" si="6"/>
        <v>7.3640735279756182E-7</v>
      </c>
      <c r="D233" s="17">
        <v>21.200000800000002</v>
      </c>
      <c r="E233" s="8">
        <v>7.4012399400000002E-7</v>
      </c>
    </row>
    <row r="234" spans="1:5">
      <c r="A234" s="17">
        <v>21.299999199999998</v>
      </c>
      <c r="B234" s="7">
        <f t="shared" si="7"/>
        <v>9.8870215626421412E-6</v>
      </c>
      <c r="C234" s="16">
        <f t="shared" si="6"/>
        <v>7.2182540728810551E-7</v>
      </c>
      <c r="D234" s="17">
        <v>21.299999199999998</v>
      </c>
      <c r="E234" s="8">
        <v>7.2546902200000005E-7</v>
      </c>
    </row>
    <row r="235" spans="1:5">
      <c r="A235" s="17">
        <v>21.399999600000001</v>
      </c>
      <c r="B235" s="7">
        <f t="shared" si="7"/>
        <v>9.8892586944488612E-6</v>
      </c>
      <c r="C235" s="16">
        <f t="shared" si="6"/>
        <v>7.0753241363505549E-7</v>
      </c>
      <c r="D235" s="17">
        <v>21.399999600000001</v>
      </c>
      <c r="E235" s="8">
        <v>7.11104974E-7</v>
      </c>
    </row>
    <row r="236" spans="1:5">
      <c r="A236" s="17">
        <v>21.5</v>
      </c>
      <c r="B236" s="7">
        <f t="shared" si="7"/>
        <v>9.8914515279023943E-6</v>
      </c>
      <c r="C236" s="16">
        <f t="shared" si="6"/>
        <v>6.9352227768482321E-7</v>
      </c>
      <c r="D236" s="17">
        <v>21.5</v>
      </c>
      <c r="E236" s="8">
        <v>6.9702400700000001E-7</v>
      </c>
    </row>
    <row r="237" spans="1:5">
      <c r="A237" s="17">
        <v>21.600000399999999</v>
      </c>
      <c r="B237" s="7">
        <f t="shared" si="7"/>
        <v>9.8936009401723763E-6</v>
      </c>
      <c r="C237" s="16">
        <f t="shared" si="6"/>
        <v>6.7978956211217498E-7</v>
      </c>
      <c r="D237" s="17">
        <v>21.600000399999999</v>
      </c>
      <c r="E237" s="8">
        <v>6.8322299299999995E-7</v>
      </c>
    </row>
    <row r="238" spans="1:5">
      <c r="A238" s="17">
        <v>21.700000800000002</v>
      </c>
      <c r="B238" s="7">
        <f t="shared" si="7"/>
        <v>9.8957077910592533E-6</v>
      </c>
      <c r="C238" s="16">
        <f t="shared" si="6"/>
        <v>6.6632892772804037E-7</v>
      </c>
      <c r="D238" s="17">
        <v>21.700000800000002</v>
      </c>
      <c r="E238" s="8">
        <v>6.6969397499999998E-7</v>
      </c>
    </row>
    <row r="239" spans="1:5">
      <c r="A239" s="17">
        <v>21.799999199999998</v>
      </c>
      <c r="B239" s="7">
        <f t="shared" si="7"/>
        <v>9.8977728824473766E-6</v>
      </c>
      <c r="C239" s="16">
        <f t="shared" si="6"/>
        <v>6.5313463780332426E-7</v>
      </c>
      <c r="D239" s="17">
        <v>21.799999199999998</v>
      </c>
      <c r="E239" s="8">
        <v>6.5643399699999995E-7</v>
      </c>
    </row>
    <row r="240" spans="1:5">
      <c r="A240" s="17">
        <v>21.899999600000001</v>
      </c>
      <c r="B240" s="7">
        <f t="shared" si="7"/>
        <v>9.8997971230151758E-6</v>
      </c>
      <c r="C240" s="16">
        <f t="shared" si="6"/>
        <v>6.4020180233029266E-7</v>
      </c>
      <c r="D240" s="17">
        <v>21.899999600000001</v>
      </c>
      <c r="E240" s="8">
        <v>6.4343601000000003E-7</v>
      </c>
    </row>
    <row r="241" spans="1:5">
      <c r="A241" s="17">
        <v>22</v>
      </c>
      <c r="B241" s="7">
        <f t="shared" si="7"/>
        <v>9.9017812807754524E-6</v>
      </c>
      <c r="C241" s="16">
        <f t="shared" si="6"/>
        <v>6.2752490709075043E-7</v>
      </c>
      <c r="D241" s="17">
        <v>22</v>
      </c>
      <c r="E241" s="8">
        <v>6.3069597899999998E-7</v>
      </c>
    </row>
    <row r="242" spans="1:5">
      <c r="A242" s="17">
        <v>22.100000399999999</v>
      </c>
      <c r="B242" s="7">
        <f t="shared" si="7"/>
        <v>9.9037261494241192E-6</v>
      </c>
      <c r="C242" s="16">
        <f t="shared" si="6"/>
        <v>6.1509903218937553E-7</v>
      </c>
      <c r="D242" s="17">
        <v>22.100000399999999</v>
      </c>
      <c r="E242" s="8">
        <v>6.1820799100000005E-7</v>
      </c>
    </row>
    <row r="243" spans="1:5">
      <c r="A243" s="17">
        <v>22.200000800000002</v>
      </c>
      <c r="B243" s="7">
        <f t="shared" si="7"/>
        <v>9.905632506940789E-6</v>
      </c>
      <c r="C243" s="16">
        <f t="shared" si="6"/>
        <v>6.0291934652811177E-7</v>
      </c>
      <c r="D243" s="17">
        <v>22.200000800000002</v>
      </c>
      <c r="E243" s="8">
        <v>6.05966989E-7</v>
      </c>
    </row>
    <row r="244" spans="1:5">
      <c r="A244" s="17">
        <v>22.299999199999998</v>
      </c>
      <c r="B244" s="7">
        <f t="shared" si="7"/>
        <v>9.9075010789004268E-6</v>
      </c>
      <c r="C244" s="16">
        <f t="shared" si="6"/>
        <v>5.9098065929981258E-7</v>
      </c>
      <c r="D244" s="17">
        <v>22.299999199999998</v>
      </c>
      <c r="E244" s="8">
        <v>5.93968025E-7</v>
      </c>
    </row>
    <row r="245" spans="1:5">
      <c r="A245" s="17">
        <v>22.399999600000001</v>
      </c>
      <c r="B245" s="7">
        <f t="shared" si="7"/>
        <v>9.9093326875092767E-6</v>
      </c>
      <c r="C245" s="16">
        <f t="shared" si="6"/>
        <v>5.792785458425099E-7</v>
      </c>
      <c r="D245" s="17">
        <v>22.399999600000001</v>
      </c>
      <c r="E245" s="8">
        <v>5.8220700800000002E-7</v>
      </c>
    </row>
    <row r="246" spans="1:5">
      <c r="A246" s="17">
        <v>22.5</v>
      </c>
      <c r="B246" s="7">
        <f t="shared" si="7"/>
        <v>9.911128027694063E-6</v>
      </c>
      <c r="C246" s="16">
        <f t="shared" si="6"/>
        <v>5.678080166852532E-7</v>
      </c>
      <c r="D246" s="17">
        <v>22.5</v>
      </c>
      <c r="E246" s="8">
        <v>5.7067899200000002E-7</v>
      </c>
    </row>
    <row r="247" spans="1:5">
      <c r="A247" s="17">
        <v>22.600000399999999</v>
      </c>
      <c r="B247" s="7">
        <f t="shared" si="7"/>
        <v>9.9128878176205403E-6</v>
      </c>
      <c r="C247" s="16">
        <f t="shared" si="6"/>
        <v>5.5656462012265194E-7</v>
      </c>
      <c r="D247" s="17">
        <v>22.600000399999999</v>
      </c>
      <c r="E247" s="8">
        <v>5.5937897499999996E-7</v>
      </c>
    </row>
    <row r="248" spans="1:5">
      <c r="A248" s="17">
        <v>22.700000800000002</v>
      </c>
      <c r="B248" s="7">
        <f t="shared" si="7"/>
        <v>9.9146127612337759E-6</v>
      </c>
      <c r="C248" s="16">
        <f t="shared" si="6"/>
        <v>5.4554398479642315E-7</v>
      </c>
      <c r="D248" s="17">
        <v>22.700000800000002</v>
      </c>
      <c r="E248" s="8">
        <v>5.4830297800000001E-7</v>
      </c>
    </row>
    <row r="249" spans="1:5">
      <c r="A249" s="17">
        <v>22.799999199999998</v>
      </c>
      <c r="B249" s="7">
        <f t="shared" si="7"/>
        <v>9.9163035150611502E-6</v>
      </c>
      <c r="C249" s="16">
        <f t="shared" si="6"/>
        <v>5.3474141387003108E-7</v>
      </c>
      <c r="D249" s="17">
        <v>22.799999199999998</v>
      </c>
      <c r="E249" s="8">
        <v>5.3744599900000003E-7</v>
      </c>
    </row>
    <row r="250" spans="1:5">
      <c r="A250" s="17">
        <v>22.899999600000001</v>
      </c>
      <c r="B250" s="7">
        <f t="shared" si="7"/>
        <v>9.9179608230656345E-6</v>
      </c>
      <c r="C250" s="16">
        <f t="shared" si="6"/>
        <v>5.2415290374376093E-7</v>
      </c>
      <c r="D250" s="17">
        <v>22.899999600000001</v>
      </c>
      <c r="E250" s="8">
        <v>5.2680502399999999E-7</v>
      </c>
    </row>
    <row r="251" spans="1:5">
      <c r="A251" s="17">
        <v>23</v>
      </c>
      <c r="B251" s="7">
        <f t="shared" si="7"/>
        <v>9.9195853140429333E-6</v>
      </c>
      <c r="C251" s="16">
        <f t="shared" ref="C251:C314" si="8">D$1*(B251 - B151)</f>
        <v>5.1377393975760286E-7</v>
      </c>
      <c r="D251" s="17">
        <v>23</v>
      </c>
      <c r="E251" s="8">
        <v>5.1637300699999996E-7</v>
      </c>
    </row>
    <row r="252" spans="1:5">
      <c r="A252" s="17">
        <v>23.100000399999999</v>
      </c>
      <c r="B252" s="7">
        <f t="shared" si="7"/>
        <v>9.9211776378162916E-6</v>
      </c>
      <c r="C252" s="16">
        <f t="shared" si="8"/>
        <v>5.0360049384194453E-7</v>
      </c>
      <c r="D252" s="17">
        <v>23.100000399999999</v>
      </c>
      <c r="E252" s="8">
        <v>5.0614897900000002E-7</v>
      </c>
    </row>
    <row r="253" spans="1:5">
      <c r="A253" s="17">
        <v>23.200000800000002</v>
      </c>
      <c r="B253" s="7">
        <f t="shared" si="7"/>
        <v>9.92273843134155E-6</v>
      </c>
      <c r="C253" s="16">
        <f t="shared" si="8"/>
        <v>4.9362861062824354E-7</v>
      </c>
      <c r="D253" s="17">
        <v>23.200000800000002</v>
      </c>
      <c r="E253" s="8">
        <v>4.9612697200000001E-7</v>
      </c>
    </row>
    <row r="254" spans="1:5">
      <c r="A254" s="17">
        <v>23.299999199999998</v>
      </c>
      <c r="B254" s="7">
        <f t="shared" si="7"/>
        <v>9.9242682886692451E-6</v>
      </c>
      <c r="C254" s="16">
        <f t="shared" si="8"/>
        <v>4.8385404024305682E-7</v>
      </c>
      <c r="D254" s="17">
        <v>23.299999199999998</v>
      </c>
      <c r="E254" s="8">
        <v>4.8630300900000002E-7</v>
      </c>
    </row>
    <row r="255" spans="1:5">
      <c r="A255" s="17">
        <v>23.399999600000001</v>
      </c>
      <c r="B255" s="7">
        <f t="shared" si="7"/>
        <v>9.9257678829649137E-6</v>
      </c>
      <c r="C255" s="16">
        <f t="shared" si="8"/>
        <v>4.7427316007955662E-7</v>
      </c>
      <c r="D255" s="17">
        <v>23.399999600000001</v>
      </c>
      <c r="E255" s="8">
        <v>4.7667398900000001E-7</v>
      </c>
    </row>
    <row r="256" spans="1:5">
      <c r="A256" s="17">
        <v>23.5</v>
      </c>
      <c r="B256" s="7">
        <f t="shared" si="7"/>
        <v>9.9272377831864344E-6</v>
      </c>
      <c r="C256" s="16">
        <f t="shared" si="8"/>
        <v>4.6488188510443135E-7</v>
      </c>
      <c r="D256" s="17">
        <v>23.5</v>
      </c>
      <c r="E256" s="8">
        <v>4.6723599200000001E-7</v>
      </c>
    </row>
    <row r="257" spans="1:5">
      <c r="A257" s="17">
        <v>23.600000399999999</v>
      </c>
      <c r="B257" s="7">
        <f t="shared" si="7"/>
        <v>9.928678577318199E-6</v>
      </c>
      <c r="C257" s="16">
        <f t="shared" si="8"/>
        <v>4.5567657056957975E-7</v>
      </c>
      <c r="D257" s="17">
        <v>23.600000399999999</v>
      </c>
      <c r="E257" s="8">
        <v>4.5798398699999999E-7</v>
      </c>
    </row>
    <row r="258" spans="1:5">
      <c r="A258" s="17">
        <v>23.700000800000002</v>
      </c>
      <c r="B258" s="7">
        <f t="shared" si="7"/>
        <v>9.9300908417016805E-6</v>
      </c>
      <c r="C258" s="16">
        <f t="shared" si="8"/>
        <v>4.4665363750953918E-7</v>
      </c>
      <c r="D258" s="17">
        <v>23.700000800000002</v>
      </c>
      <c r="E258" s="8">
        <v>4.4891601200000001E-7</v>
      </c>
    </row>
    <row r="259" spans="1:5">
      <c r="A259" s="17">
        <v>23.799999199999998</v>
      </c>
      <c r="B259" s="7">
        <f t="shared" si="7"/>
        <v>9.9314751138560356E-6</v>
      </c>
      <c r="C259" s="16">
        <f t="shared" si="8"/>
        <v>4.3780924047979495E-7</v>
      </c>
      <c r="D259" s="17">
        <v>23.799999199999998</v>
      </c>
      <c r="E259" s="8">
        <v>4.4002700900000001E-7</v>
      </c>
    </row>
    <row r="260" spans="1:5">
      <c r="A260" s="17">
        <v>23.899999600000001</v>
      </c>
      <c r="B260" s="7">
        <f t="shared" si="7"/>
        <v>9.932832002886629E-6</v>
      </c>
      <c r="C260" s="16">
        <f t="shared" si="8"/>
        <v>4.2914010161014021E-7</v>
      </c>
      <c r="D260" s="17">
        <v>23.899999600000001</v>
      </c>
      <c r="E260" s="8">
        <v>4.3131399299999999E-7</v>
      </c>
    </row>
    <row r="261" spans="1:5">
      <c r="A261" s="17">
        <v>24</v>
      </c>
      <c r="B261" s="7">
        <f t="shared" si="7"/>
        <v>9.9341620236078398E-6</v>
      </c>
      <c r="C261" s="16">
        <f t="shared" si="8"/>
        <v>4.2064252460958201E-7</v>
      </c>
      <c r="D261" s="17">
        <v>24</v>
      </c>
      <c r="E261" s="8">
        <v>4.22774008E-7</v>
      </c>
    </row>
    <row r="262" spans="1:5">
      <c r="A262" s="17">
        <v>24.100000399999999</v>
      </c>
      <c r="B262" s="7">
        <f t="shared" si="7"/>
        <v>9.9354657080499475E-6</v>
      </c>
      <c r="C262" s="16">
        <f t="shared" si="8"/>
        <v>4.1231321157365986E-7</v>
      </c>
      <c r="D262" s="17">
        <v>24.100000399999999</v>
      </c>
      <c r="E262" s="8">
        <v>4.1440199499999999E-7</v>
      </c>
    </row>
    <row r="263" spans="1:5">
      <c r="A263" s="17">
        <v>24.200000800000002</v>
      </c>
      <c r="B263" s="7">
        <f t="shared" si="7"/>
        <v>9.9367435777082814E-6</v>
      </c>
      <c r="C263" s="16">
        <f t="shared" si="8"/>
        <v>4.041489241205007E-7</v>
      </c>
      <c r="D263" s="17">
        <v>24.200000800000002</v>
      </c>
      <c r="E263" s="8">
        <v>4.0619698900000001E-7</v>
      </c>
    </row>
    <row r="264" spans="1:5">
      <c r="A264" s="17">
        <v>24.299999199999998</v>
      </c>
      <c r="B264" s="7">
        <f t="shared" si="7"/>
        <v>9.9379961189502863E-6</v>
      </c>
      <c r="C264" s="16">
        <f t="shared" si="8"/>
        <v>3.9614618274802107E-7</v>
      </c>
      <c r="D264" s="17">
        <v>24.299999199999998</v>
      </c>
      <c r="E264" s="8">
        <v>3.9815398600000001E-7</v>
      </c>
    </row>
    <row r="265" spans="1:5">
      <c r="A265" s="17">
        <v>24.399999600000001</v>
      </c>
      <c r="B265" s="7">
        <f t="shared" si="7"/>
        <v>9.9392238829172906E-6</v>
      </c>
      <c r="C265" s="16">
        <f t="shared" si="8"/>
        <v>3.8830202151660855E-7</v>
      </c>
      <c r="D265" s="17">
        <v>24.399999600000001</v>
      </c>
      <c r="E265" s="8">
        <v>3.9027000300000002E-7</v>
      </c>
    </row>
    <row r="266" spans="1:5">
      <c r="A266" s="17">
        <v>24.5</v>
      </c>
      <c r="B266" s="7">
        <f t="shared" si="7"/>
        <v>9.9404273354326054E-6</v>
      </c>
      <c r="C266" s="16">
        <f t="shared" si="8"/>
        <v>3.8061309588386191E-7</v>
      </c>
      <c r="D266" s="17">
        <v>24.5</v>
      </c>
      <c r="E266" s="8">
        <v>3.8254299299999999E-7</v>
      </c>
    </row>
    <row r="267" spans="1:5">
      <c r="A267" s="17">
        <v>24.600000399999999</v>
      </c>
      <c r="B267" s="7">
        <f t="shared" si="7"/>
        <v>9.9416069578971353E-6</v>
      </c>
      <c r="C267" s="16">
        <f t="shared" si="8"/>
        <v>3.7307642178242359E-7</v>
      </c>
      <c r="D267" s="17">
        <v>24.600000399999999</v>
      </c>
      <c r="E267" s="8">
        <v>3.7496801000000001E-7</v>
      </c>
    </row>
    <row r="268" spans="1:5">
      <c r="A268" s="17">
        <v>24.700000800000002</v>
      </c>
      <c r="B268" s="7">
        <f t="shared" si="7"/>
        <v>9.9427632221793691E-6</v>
      </c>
      <c r="C268" s="16">
        <f t="shared" si="8"/>
        <v>3.6568906900320411E-7</v>
      </c>
      <c r="D268" s="17">
        <v>24.700000800000002</v>
      </c>
      <c r="E268" s="8">
        <v>3.6754300899999998E-7</v>
      </c>
    </row>
    <row r="269" spans="1:5">
      <c r="A269" s="17">
        <v>24.799999199999998</v>
      </c>
      <c r="B269" s="7">
        <f t="shared" si="7"/>
        <v>9.943896568362769E-6</v>
      </c>
      <c r="C269" s="16">
        <f t="shared" si="8"/>
        <v>3.5844788916252127E-7</v>
      </c>
      <c r="D269" s="17">
        <v>24.799999199999998</v>
      </c>
      <c r="E269" s="8">
        <v>3.6026599999999998E-7</v>
      </c>
    </row>
    <row r="270" spans="1:5">
      <c r="A270" s="17">
        <v>24.899999600000001</v>
      </c>
      <c r="B270" s="7">
        <f t="shared" si="7"/>
        <v>9.9450074951406306E-6</v>
      </c>
      <c r="C270" s="16">
        <f t="shared" si="8"/>
        <v>3.513501985672314E-7</v>
      </c>
      <c r="D270" s="17">
        <v>24.899999600000001</v>
      </c>
      <c r="E270" s="8">
        <v>3.5313200900000002E-7</v>
      </c>
    </row>
    <row r="271" spans="1:5">
      <c r="A271" s="17">
        <v>25</v>
      </c>
      <c r="B271" s="7">
        <f t="shared" si="7"/>
        <v>9.9460964240073176E-6</v>
      </c>
      <c r="C271" s="16">
        <f t="shared" si="8"/>
        <v>3.4439297095022798E-7</v>
      </c>
      <c r="D271" s="17">
        <v>25</v>
      </c>
      <c r="E271" s="8">
        <v>3.46140013E-7</v>
      </c>
    </row>
    <row r="272" spans="1:5">
      <c r="A272" s="17">
        <v>25.100000399999999</v>
      </c>
      <c r="B272" s="7">
        <f t="shared" si="7"/>
        <v>9.9471637905523794E-6</v>
      </c>
      <c r="C272" s="16">
        <f t="shared" si="8"/>
        <v>3.3757350621570306E-7</v>
      </c>
      <c r="D272" s="17">
        <v>25.100000399999999</v>
      </c>
      <c r="E272" s="8">
        <v>3.3928600400000003E-7</v>
      </c>
    </row>
    <row r="273" spans="1:5">
      <c r="A273" s="17">
        <v>25.200000800000002</v>
      </c>
      <c r="B273" s="7">
        <f t="shared" si="7"/>
        <v>9.9482100217400829E-6</v>
      </c>
      <c r="C273" s="16">
        <f t="shared" si="8"/>
        <v>3.3088915300083392E-7</v>
      </c>
      <c r="D273" s="17">
        <v>25.200000800000002</v>
      </c>
      <c r="E273" s="8">
        <v>3.3256799299999999E-7</v>
      </c>
    </row>
    <row r="274" spans="1:5">
      <c r="A274" s="17">
        <v>25.299999199999998</v>
      </c>
      <c r="B274" s="7">
        <f t="shared" si="7"/>
        <v>9.9492355157744115E-6</v>
      </c>
      <c r="C274" s="16">
        <f t="shared" si="8"/>
        <v>3.2433706253025659E-7</v>
      </c>
      <c r="D274" s="17">
        <v>25.299999199999998</v>
      </c>
      <c r="E274" s="8">
        <v>3.2598299500000002E-7</v>
      </c>
    </row>
    <row r="275" spans="1:5">
      <c r="A275" s="17">
        <v>25.399999600000001</v>
      </c>
      <c r="B275" s="7">
        <f t="shared" si="7"/>
        <v>9.9502407238917187E-6</v>
      </c>
      <c r="C275" s="16">
        <f t="shared" si="8"/>
        <v>3.1791480649799659E-7</v>
      </c>
      <c r="D275" s="17">
        <v>25.399999600000001</v>
      </c>
      <c r="E275" s="8">
        <v>3.19527999E-7</v>
      </c>
    </row>
    <row r="276" spans="1:5">
      <c r="A276" s="17">
        <v>25.5</v>
      </c>
      <c r="B276" s="7">
        <f t="shared" si="7"/>
        <v>9.9512260274758752E-6</v>
      </c>
      <c r="C276" s="16">
        <f t="shared" si="8"/>
        <v>3.1161964662433615E-7</v>
      </c>
      <c r="D276" s="17">
        <v>25.5</v>
      </c>
      <c r="E276" s="8">
        <v>3.13202008E-7</v>
      </c>
    </row>
    <row r="277" spans="1:5">
      <c r="A277" s="17">
        <v>25.600000399999999</v>
      </c>
      <c r="B277" s="7">
        <f t="shared" ref="B277:B340" si="9">B$9 + B$10*(1 - EXP(-A277/B$11))</f>
        <v>9.952191820664608E-6</v>
      </c>
      <c r="C277" s="16">
        <f t="shared" si="8"/>
        <v>3.0544913976156407E-7</v>
      </c>
      <c r="D277" s="17">
        <v>25.600000399999999</v>
      </c>
      <c r="E277" s="8">
        <v>3.0699999300000001E-7</v>
      </c>
    </row>
    <row r="278" spans="1:5">
      <c r="A278" s="17">
        <v>25.700000800000002</v>
      </c>
      <c r="B278" s="7">
        <f t="shared" si="9"/>
        <v>9.9531384897911574E-6</v>
      </c>
      <c r="C278" s="16">
        <f t="shared" si="8"/>
        <v>2.9940088685737954E-7</v>
      </c>
      <c r="D278" s="17">
        <v>25.700000800000002</v>
      </c>
      <c r="E278" s="8">
        <v>3.0092098800000001E-7</v>
      </c>
    </row>
    <row r="279" spans="1:5">
      <c r="A279" s="17">
        <v>25.799999199999998</v>
      </c>
      <c r="B279" s="7">
        <f t="shared" si="9"/>
        <v>9.9540663951653903E-6</v>
      </c>
      <c r="C279" s="16">
        <f t="shared" si="8"/>
        <v>2.9347231023324361E-7</v>
      </c>
      <c r="D279" s="17">
        <v>25.799999199999998</v>
      </c>
      <c r="E279" s="8">
        <v>2.9496300200000003E-7</v>
      </c>
    </row>
    <row r="280" spans="1:5">
      <c r="A280" s="17">
        <v>25.899999600000001</v>
      </c>
      <c r="B280" s="7">
        <f t="shared" si="9"/>
        <v>9.9549759450828439E-6</v>
      </c>
      <c r="C280" s="16">
        <f t="shared" si="8"/>
        <v>2.8766121266704959E-7</v>
      </c>
      <c r="D280" s="17">
        <v>25.899999600000001</v>
      </c>
      <c r="E280" s="8">
        <v>2.8912199899999998E-7</v>
      </c>
    </row>
    <row r="281" spans="1:5">
      <c r="A281" s="17">
        <v>26</v>
      </c>
      <c r="B281" s="7">
        <f t="shared" si="9"/>
        <v>9.9558674846339144E-6</v>
      </c>
      <c r="C281" s="16">
        <f t="shared" si="8"/>
        <v>2.8196511646084277E-7</v>
      </c>
      <c r="D281" s="17">
        <v>26</v>
      </c>
      <c r="E281" s="8">
        <v>2.8339698599999998E-7</v>
      </c>
    </row>
    <row r="282" spans="1:5">
      <c r="A282" s="17">
        <v>26.100000399999999</v>
      </c>
      <c r="B282" s="7">
        <f t="shared" si="9"/>
        <v>9.9567413704491645E-6</v>
      </c>
      <c r="C282" s="16">
        <f t="shared" si="8"/>
        <v>2.7638181096315809E-7</v>
      </c>
      <c r="D282" s="17">
        <v>26.100000399999999</v>
      </c>
      <c r="E282" s="8">
        <v>2.77786E-7</v>
      </c>
    </row>
    <row r="283" spans="1:5">
      <c r="A283" s="17">
        <v>26.200000800000002</v>
      </c>
      <c r="B283" s="7">
        <f t="shared" si="9"/>
        <v>9.9575979520973668E-6</v>
      </c>
      <c r="C283" s="16">
        <f t="shared" si="8"/>
        <v>2.7090906275948052E-7</v>
      </c>
      <c r="D283" s="17">
        <v>26.200000800000002</v>
      </c>
      <c r="E283" s="8">
        <v>2.7228600200000001E-7</v>
      </c>
    </row>
    <row r="284" spans="1:5">
      <c r="A284" s="17">
        <v>26.299999199999998</v>
      </c>
      <c r="B284" s="7">
        <f t="shared" si="9"/>
        <v>9.9584375556003678E-6</v>
      </c>
      <c r="C284" s="16">
        <f t="shared" si="8"/>
        <v>2.6554478887793661E-7</v>
      </c>
      <c r="D284" s="17">
        <v>26.299999199999998</v>
      </c>
      <c r="E284" s="8">
        <v>2.66894006E-7</v>
      </c>
    </row>
    <row r="285" spans="1:5">
      <c r="A285" s="17">
        <v>26.399999600000001</v>
      </c>
      <c r="B285" s="7">
        <f t="shared" si="9"/>
        <v>9.9592605503992514E-6</v>
      </c>
      <c r="C285" s="16">
        <f t="shared" si="8"/>
        <v>2.6028662893874635E-7</v>
      </c>
      <c r="D285" s="17">
        <v>26.399999600000001</v>
      </c>
      <c r="E285" s="8">
        <v>2.6160898900000001E-7</v>
      </c>
    </row>
    <row r="286" spans="1:5">
      <c r="A286" s="17">
        <v>26.5</v>
      </c>
      <c r="B286" s="7">
        <f t="shared" si="9"/>
        <v>9.9600672487447193E-6</v>
      </c>
      <c r="C286" s="16">
        <f t="shared" si="8"/>
        <v>2.5513258795463837E-7</v>
      </c>
      <c r="D286" s="17">
        <v>26.5</v>
      </c>
      <c r="E286" s="8">
        <v>2.5642899000000002E-7</v>
      </c>
    </row>
    <row r="287" spans="1:5">
      <c r="A287" s="17">
        <v>26.600000399999999</v>
      </c>
      <c r="B287" s="7">
        <f t="shared" si="9"/>
        <v>9.9608579733294464E-6</v>
      </c>
      <c r="C287" s="16">
        <f t="shared" si="8"/>
        <v>2.5008060422400537E-7</v>
      </c>
      <c r="D287" s="17">
        <v>26.600000399999999</v>
      </c>
      <c r="E287" s="8">
        <v>2.5135199200000001E-7</v>
      </c>
    </row>
    <row r="288" spans="1:5">
      <c r="A288" s="17">
        <v>26.700000800000002</v>
      </c>
      <c r="B288" s="7">
        <f t="shared" si="9"/>
        <v>9.9616330404563433E-6</v>
      </c>
      <c r="C288" s="16">
        <f t="shared" si="8"/>
        <v>2.4512865686982932E-7</v>
      </c>
      <c r="D288" s="17">
        <v>26.700000800000002</v>
      </c>
      <c r="E288" s="8">
        <v>2.4637500900000001E-7</v>
      </c>
    </row>
    <row r="289" spans="1:5">
      <c r="A289" s="17">
        <v>26.799999199999998</v>
      </c>
      <c r="B289" s="7">
        <f t="shared" si="9"/>
        <v>9.9623927451221743E-6</v>
      </c>
      <c r="C289" s="16">
        <f t="shared" si="8"/>
        <v>2.4027486114121672E-7</v>
      </c>
      <c r="D289" s="17">
        <v>26.799999199999998</v>
      </c>
      <c r="E289" s="8">
        <v>2.4149699099999998E-7</v>
      </c>
    </row>
    <row r="290" spans="1:5">
      <c r="A290" s="17">
        <v>26.899999600000001</v>
      </c>
      <c r="B290" s="7">
        <f t="shared" si="9"/>
        <v>9.9631374216110518E-6</v>
      </c>
      <c r="C290" s="16">
        <f t="shared" si="8"/>
        <v>2.3551708127821658E-7</v>
      </c>
      <c r="D290" s="17">
        <v>26.899999600000001</v>
      </c>
      <c r="E290" s="8">
        <v>2.36714996E-7</v>
      </c>
    </row>
    <row r="291" spans="1:5">
      <c r="A291" s="17">
        <v>27</v>
      </c>
      <c r="B291" s="7">
        <f t="shared" si="9"/>
        <v>9.9638673524590992E-6</v>
      </c>
      <c r="C291" s="16">
        <f t="shared" si="8"/>
        <v>2.3085351214170661E-7</v>
      </c>
      <c r="D291" s="17">
        <v>27</v>
      </c>
      <c r="E291" s="8">
        <v>2.3202799999999999E-7</v>
      </c>
    </row>
    <row r="292" spans="1:5">
      <c r="A292" s="17">
        <v>27.100000399999999</v>
      </c>
      <c r="B292" s="7">
        <f t="shared" si="9"/>
        <v>9.9645828296507218E-6</v>
      </c>
      <c r="C292" s="16">
        <f t="shared" si="8"/>
        <v>2.2628228822692179E-7</v>
      </c>
      <c r="D292" s="17">
        <v>27.100000399999999</v>
      </c>
      <c r="E292" s="8">
        <v>2.2743300599999999E-7</v>
      </c>
    </row>
    <row r="293" spans="1:5">
      <c r="A293" s="17">
        <v>27.200000800000002</v>
      </c>
      <c r="B293" s="7">
        <f t="shared" si="9"/>
        <v>9.9652841393886283E-6</v>
      </c>
      <c r="C293" s="16">
        <f t="shared" si="8"/>
        <v>2.2180158096871892E-7</v>
      </c>
      <c r="D293" s="17">
        <v>27.200000800000002</v>
      </c>
      <c r="E293" s="8">
        <v>2.2292999799999999E-7</v>
      </c>
    </row>
    <row r="294" spans="1:5">
      <c r="A294" s="17">
        <v>27.299999199999998</v>
      </c>
      <c r="B294" s="7">
        <f t="shared" si="9"/>
        <v>9.9659715485969292E-6</v>
      </c>
      <c r="C294" s="16">
        <f t="shared" si="8"/>
        <v>2.174096849739691E-7</v>
      </c>
      <c r="D294" s="17">
        <v>27.299999199999998</v>
      </c>
      <c r="E294" s="8">
        <v>2.18516007E-7</v>
      </c>
    </row>
    <row r="295" spans="1:5">
      <c r="A295" s="17">
        <v>27.399999600000001</v>
      </c>
      <c r="B295" s="7">
        <f t="shared" si="9"/>
        <v>9.9666453597483963E-6</v>
      </c>
      <c r="C295" s="16">
        <f t="shared" si="8"/>
        <v>2.1310466772714879E-7</v>
      </c>
      <c r="D295" s="17">
        <v>27.399999600000001</v>
      </c>
      <c r="E295" s="8">
        <v>2.1418900099999999E-7</v>
      </c>
    </row>
    <row r="296" spans="1:5">
      <c r="A296" s="17">
        <v>27.5</v>
      </c>
      <c r="B296" s="7">
        <f t="shared" si="9"/>
        <v>9.9673058284922877E-6</v>
      </c>
      <c r="C296" s="16">
        <f t="shared" si="8"/>
        <v>2.0888489587083433E-7</v>
      </c>
      <c r="D296" s="17">
        <v>27.5</v>
      </c>
      <c r="E296" s="8">
        <v>2.0994799899999999E-7</v>
      </c>
    </row>
    <row r="297" spans="1:5">
      <c r="A297" s="17">
        <v>27.600000399999999</v>
      </c>
      <c r="B297" s="7">
        <f t="shared" si="9"/>
        <v>9.9679532190270194E-6</v>
      </c>
      <c r="C297" s="16">
        <f t="shared" si="8"/>
        <v>2.0474868142651646E-7</v>
      </c>
      <c r="D297" s="17">
        <v>27.600000399999999</v>
      </c>
      <c r="E297" s="8">
        <v>2.0579099700000001E-7</v>
      </c>
    </row>
    <row r="298" spans="1:5">
      <c r="A298" s="17">
        <v>27.700000800000002</v>
      </c>
      <c r="B298" s="7">
        <f t="shared" si="9"/>
        <v>9.9685877903195098E-6</v>
      </c>
      <c r="C298" s="16">
        <f t="shared" si="8"/>
        <v>2.0069436984002952E-7</v>
      </c>
      <c r="D298" s="17">
        <v>27.700000800000002</v>
      </c>
      <c r="E298" s="8">
        <v>2.01716006E-7</v>
      </c>
    </row>
    <row r="299" spans="1:5">
      <c r="A299" s="17">
        <v>27.799999199999998</v>
      </c>
      <c r="B299" s="7">
        <f t="shared" si="9"/>
        <v>9.9692097838926827E-6</v>
      </c>
      <c r="C299" s="16">
        <f t="shared" si="8"/>
        <v>1.9672041800785656E-7</v>
      </c>
      <c r="D299" s="17">
        <v>27.799999199999998</v>
      </c>
      <c r="E299" s="8">
        <v>1.9772200200000001E-7</v>
      </c>
    </row>
    <row r="300" spans="1:5">
      <c r="A300" s="17">
        <v>27.899999600000001</v>
      </c>
      <c r="B300" s="7">
        <f t="shared" si="9"/>
        <v>9.9698194734352212E-6</v>
      </c>
      <c r="C300" s="16">
        <f t="shared" si="8"/>
        <v>1.9282507731764445E-7</v>
      </c>
      <c r="D300" s="17">
        <v>27.899999600000001</v>
      </c>
      <c r="E300" s="8">
        <v>1.93806997E-7</v>
      </c>
    </row>
    <row r="301" spans="1:5">
      <c r="A301" s="17">
        <v>28</v>
      </c>
      <c r="B301" s="7">
        <f t="shared" si="9"/>
        <v>9.970417090268137E-6</v>
      </c>
      <c r="C301" s="16">
        <f t="shared" si="8"/>
        <v>1.8900686984647607E-7</v>
      </c>
      <c r="D301" s="17">
        <v>28</v>
      </c>
      <c r="E301" s="8">
        <v>1.8996999500000001E-7</v>
      </c>
    </row>
    <row r="302" spans="1:5">
      <c r="A302" s="17">
        <v>28.100000399999999</v>
      </c>
      <c r="B302" s="7">
        <f t="shared" si="9"/>
        <v>9.9710028734480445E-6</v>
      </c>
      <c r="C302" s="16">
        <f t="shared" si="8"/>
        <v>1.8526426824823754E-7</v>
      </c>
      <c r="D302" s="17">
        <v>28.100000399999999</v>
      </c>
      <c r="E302" s="8">
        <v>1.8620799799999999E-7</v>
      </c>
    </row>
    <row r="303" spans="1:5">
      <c r="A303" s="17">
        <v>28.200000800000002</v>
      </c>
      <c r="B303" s="7">
        <f t="shared" si="9"/>
        <v>9.9715770572979011E-6</v>
      </c>
      <c r="C303" s="16">
        <f t="shared" si="8"/>
        <v>1.8159577542040586E-7</v>
      </c>
      <c r="D303" s="17">
        <v>28.200000800000002</v>
      </c>
      <c r="E303" s="8">
        <v>1.8252100599999999E-7</v>
      </c>
    </row>
    <row r="304" spans="1:5">
      <c r="A304" s="17">
        <v>28.299999199999998</v>
      </c>
      <c r="B304" s="7">
        <f t="shared" si="9"/>
        <v>9.9721398603566864E-6</v>
      </c>
      <c r="C304" s="16">
        <f t="shared" si="8"/>
        <v>1.7799999510518531E-7</v>
      </c>
      <c r="D304" s="17">
        <v>28.299999199999998</v>
      </c>
      <c r="E304" s="8">
        <v>1.7890700100000001E-7</v>
      </c>
    </row>
    <row r="305" spans="1:5">
      <c r="A305" s="17">
        <v>28.399999600000001</v>
      </c>
      <c r="B305" s="7">
        <f t="shared" si="9"/>
        <v>9.9726915302681603E-6</v>
      </c>
      <c r="C305" s="16">
        <f t="shared" si="8"/>
        <v>1.7447534509268109E-7</v>
      </c>
      <c r="D305" s="17">
        <v>28.399999600000001</v>
      </c>
      <c r="E305" s="8">
        <v>1.7536399400000001E-7</v>
      </c>
    </row>
    <row r="306" spans="1:5">
      <c r="A306" s="17">
        <v>28.5</v>
      </c>
      <c r="B306" s="7">
        <f t="shared" si="9"/>
        <v>9.9732322763402305E-6</v>
      </c>
      <c r="C306" s="16">
        <f t="shared" si="8"/>
        <v>1.710204881029445E-7</v>
      </c>
      <c r="D306" s="17">
        <v>28.5</v>
      </c>
      <c r="E306" s="8">
        <v>1.7189199800000001E-7</v>
      </c>
    </row>
    <row r="307" spans="1:5">
      <c r="A307" s="17">
        <v>28.600000399999999</v>
      </c>
      <c r="B307" s="7">
        <f t="shared" si="9"/>
        <v>9.9737623148802667E-6</v>
      </c>
      <c r="C307" s="16">
        <f t="shared" si="8"/>
        <v>1.676340421360567E-7</v>
      </c>
      <c r="D307" s="17">
        <v>28.600000399999999</v>
      </c>
      <c r="E307" s="8">
        <v>1.68488995E-7</v>
      </c>
    </row>
    <row r="308" spans="1:5">
      <c r="A308" s="17">
        <v>28.700000800000002</v>
      </c>
      <c r="B308" s="7">
        <f t="shared" si="9"/>
        <v>9.9742818579124485E-6</v>
      </c>
      <c r="C308" s="16">
        <f t="shared" si="8"/>
        <v>1.6431465255763785E-7</v>
      </c>
      <c r="D308" s="17">
        <v>28.700000800000002</v>
      </c>
      <c r="E308" s="8">
        <v>1.65152002E-7</v>
      </c>
    </row>
    <row r="309" spans="1:5">
      <c r="A309" s="17">
        <v>28.799999199999998</v>
      </c>
      <c r="B309" s="7">
        <f t="shared" si="9"/>
        <v>9.9747911031790232E-6</v>
      </c>
      <c r="C309" s="16">
        <f t="shared" si="8"/>
        <v>1.6106105598138921E-7</v>
      </c>
      <c r="D309" s="17">
        <v>28.799999199999998</v>
      </c>
      <c r="E309" s="8">
        <v>1.6188199899999999E-7</v>
      </c>
    </row>
    <row r="310" spans="1:5">
      <c r="A310" s="17">
        <v>28.899999600000001</v>
      </c>
      <c r="B310" s="7">
        <f t="shared" si="9"/>
        <v>9.9752902747573289E-6</v>
      </c>
      <c r="C310" s="16">
        <f t="shared" si="8"/>
        <v>1.578718207645951E-7</v>
      </c>
      <c r="D310" s="17">
        <v>28.899999600000001</v>
      </c>
      <c r="E310" s="8">
        <v>1.58676997E-7</v>
      </c>
    </row>
    <row r="311" spans="1:5">
      <c r="A311" s="17">
        <v>29</v>
      </c>
      <c r="B311" s="7">
        <f t="shared" si="9"/>
        <v>9.9757795620369938E-6</v>
      </c>
      <c r="C311" s="16">
        <f t="shared" si="8"/>
        <v>1.5474573688631778E-7</v>
      </c>
      <c r="D311" s="17">
        <v>29</v>
      </c>
      <c r="E311" s="8">
        <v>1.5553500499999999E-7</v>
      </c>
    </row>
    <row r="312" spans="1:5">
      <c r="A312" s="17">
        <v>29.100000399999999</v>
      </c>
      <c r="B312" s="7">
        <f t="shared" si="9"/>
        <v>9.9762591607410198E-6</v>
      </c>
      <c r="C312" s="16">
        <f t="shared" si="8"/>
        <v>1.5168155386131907E-7</v>
      </c>
      <c r="D312" s="17">
        <v>29.100000399999999</v>
      </c>
      <c r="E312" s="8">
        <v>1.52455002E-7</v>
      </c>
    </row>
    <row r="313" spans="1:5">
      <c r="A313" s="17">
        <v>29.200000800000002</v>
      </c>
      <c r="B313" s="7">
        <f t="shared" si="9"/>
        <v>9.9767292627168179E-6</v>
      </c>
      <c r="C313" s="16">
        <f t="shared" si="8"/>
        <v>1.4867804596572919E-7</v>
      </c>
      <c r="D313" s="17">
        <v>29.200000800000002</v>
      </c>
      <c r="E313" s="8">
        <v>1.4943699999999999E-7</v>
      </c>
    </row>
    <row r="314" spans="1:5">
      <c r="A314" s="17">
        <v>29.299999199999998</v>
      </c>
      <c r="B314" s="7">
        <f t="shared" si="9"/>
        <v>9.9771900468889717E-6</v>
      </c>
      <c r="C314" s="16">
        <f t="shared" si="8"/>
        <v>1.4573407004034361E-7</v>
      </c>
      <c r="D314" s="17">
        <v>29.299999199999998</v>
      </c>
      <c r="E314" s="8">
        <v>1.46478001E-7</v>
      </c>
    </row>
    <row r="315" spans="1:5">
      <c r="A315" s="17">
        <v>29.399999600000001</v>
      </c>
      <c r="B315" s="7">
        <f t="shared" si="9"/>
        <v>9.9776417160110429E-6</v>
      </c>
      <c r="C315" s="16">
        <f t="shared" ref="C315:C378" si="10">D$1*(B315 - B215)</f>
        <v>1.4284833068127063E-7</v>
      </c>
      <c r="D315" s="17">
        <v>29.399999600000001</v>
      </c>
      <c r="E315" s="8">
        <v>1.43576997E-7</v>
      </c>
    </row>
    <row r="316" spans="1:5">
      <c r="A316" s="17">
        <v>29.5</v>
      </c>
      <c r="B316" s="7">
        <f t="shared" si="9"/>
        <v>9.9780844414498533E-6</v>
      </c>
      <c r="C316" s="16">
        <f t="shared" si="10"/>
        <v>1.4001973301628743E-7</v>
      </c>
      <c r="D316" s="17">
        <v>29.5</v>
      </c>
      <c r="E316" s="8">
        <v>1.40734002E-7</v>
      </c>
    </row>
    <row r="317" spans="1:5">
      <c r="A317" s="17">
        <v>29.600000399999999</v>
      </c>
      <c r="B317" s="7">
        <f t="shared" si="9"/>
        <v>9.9785184003028991E-6</v>
      </c>
      <c r="C317" s="16">
        <f t="shared" si="10"/>
        <v>1.3724714555956051E-7</v>
      </c>
      <c r="D317" s="17">
        <v>29.600000399999999</v>
      </c>
      <c r="E317" s="8">
        <v>1.3794800700000001E-7</v>
      </c>
    </row>
    <row r="318" spans="1:5">
      <c r="A318" s="17">
        <v>29.700000800000002</v>
      </c>
      <c r="B318" s="7">
        <f t="shared" si="9"/>
        <v>9.9789437661608922E-6</v>
      </c>
      <c r="C318" s="16">
        <f t="shared" si="10"/>
        <v>1.3452945923026207E-7</v>
      </c>
      <c r="D318" s="17">
        <v>29.700000800000002</v>
      </c>
      <c r="E318" s="8">
        <v>1.35215998E-7</v>
      </c>
    </row>
    <row r="319" spans="1:5">
      <c r="A319" s="17">
        <v>29.799999199999998</v>
      </c>
      <c r="B319" s="7">
        <f t="shared" si="9"/>
        <v>9.9793607009214955E-6</v>
      </c>
      <c r="C319" s="16">
        <f t="shared" si="10"/>
        <v>1.3186563965517568E-7</v>
      </c>
      <c r="D319" s="17">
        <v>29.799999199999998</v>
      </c>
      <c r="E319" s="8">
        <v>1.3253899999999999E-7</v>
      </c>
    </row>
    <row r="320" spans="1:5">
      <c r="A320" s="17">
        <v>29.899999600000001</v>
      </c>
      <c r="B320" s="7">
        <f t="shared" si="9"/>
        <v>9.9797693880437188E-6</v>
      </c>
      <c r="C320" s="16">
        <f t="shared" si="10"/>
        <v>1.2925451470438978E-7</v>
      </c>
      <c r="D320" s="17">
        <v>29.899999600000001</v>
      </c>
      <c r="E320" s="8">
        <v>1.2991400000000001E-7</v>
      </c>
    </row>
    <row r="321" spans="1:5">
      <c r="A321" s="17">
        <v>30</v>
      </c>
      <c r="B321" s="7">
        <f t="shared" si="9"/>
        <v>9.9801699825866706E-6</v>
      </c>
      <c r="C321" s="16">
        <f t="shared" si="10"/>
        <v>1.2669509369654302E-7</v>
      </c>
      <c r="D321" s="17">
        <v>30</v>
      </c>
      <c r="E321" s="8">
        <v>1.2734200499999999E-7</v>
      </c>
    </row>
    <row r="322" spans="1:5">
      <c r="A322" s="17">
        <v>30.100000399999999</v>
      </c>
      <c r="B322" s="7">
        <f t="shared" si="9"/>
        <v>9.9805626447947933E-6</v>
      </c>
      <c r="C322" s="16">
        <f t="shared" si="10"/>
        <v>1.2418635282091813E-7</v>
      </c>
      <c r="D322" s="17">
        <v>30.100000399999999</v>
      </c>
      <c r="E322" s="8">
        <v>1.24821E-7</v>
      </c>
    </row>
    <row r="323" spans="1:5">
      <c r="A323" s="17">
        <v>30.200000800000002</v>
      </c>
      <c r="B323" s="7">
        <f t="shared" si="9"/>
        <v>9.9809475317394608E-6</v>
      </c>
      <c r="C323" s="16">
        <f t="shared" si="10"/>
        <v>1.2172728853968442E-7</v>
      </c>
      <c r="D323" s="17">
        <v>30.200000800000002</v>
      </c>
      <c r="E323" s="8">
        <v>1.2234899300000001E-7</v>
      </c>
    </row>
    <row r="324" spans="1:5">
      <c r="A324" s="17">
        <v>30.299999199999998</v>
      </c>
      <c r="B324" s="7">
        <f t="shared" si="9"/>
        <v>9.9813247899117332E-6</v>
      </c>
      <c r="C324" s="16">
        <f t="shared" si="10"/>
        <v>1.1931696491324804E-7</v>
      </c>
      <c r="D324" s="17">
        <v>30.299999199999998</v>
      </c>
      <c r="E324" s="8">
        <v>1.1992600000000001E-7</v>
      </c>
    </row>
    <row r="325" spans="1:5">
      <c r="A325" s="17">
        <v>30.399999600000001</v>
      </c>
      <c r="B325" s="7">
        <f t="shared" si="9"/>
        <v>9.9816945853121907E-6</v>
      </c>
      <c r="C325" s="16">
        <f t="shared" si="10"/>
        <v>1.1695432135461003E-7</v>
      </c>
      <c r="D325" s="17">
        <v>30.399999600000001</v>
      </c>
      <c r="E325" s="8">
        <v>1.17551998E-7</v>
      </c>
    </row>
    <row r="326" spans="1:5">
      <c r="A326" s="17">
        <v>30.5</v>
      </c>
      <c r="B326" s="7">
        <f t="shared" si="9"/>
        <v>9.9820570582441145E-6</v>
      </c>
      <c r="C326" s="16">
        <f t="shared" si="10"/>
        <v>1.1463846145820269E-7</v>
      </c>
      <c r="D326" s="17">
        <v>30.5</v>
      </c>
      <c r="E326" s="8">
        <v>1.15223997E-7</v>
      </c>
    </row>
    <row r="327" spans="1:5">
      <c r="A327" s="17">
        <v>30.600000399999999</v>
      </c>
      <c r="B327" s="7">
        <f t="shared" si="9"/>
        <v>9.982412353702672E-6</v>
      </c>
      <c r="C327" s="16">
        <f t="shared" si="10"/>
        <v>1.1236845884178104E-7</v>
      </c>
      <c r="D327" s="17">
        <v>30.600000399999999</v>
      </c>
      <c r="E327" s="8">
        <v>1.12942999E-7</v>
      </c>
    </row>
    <row r="328" spans="1:5">
      <c r="A328" s="17">
        <v>30.700000800000002</v>
      </c>
      <c r="B328" s="7">
        <f t="shared" si="9"/>
        <v>9.9827606138119214E-6</v>
      </c>
      <c r="C328" s="16">
        <f t="shared" si="10"/>
        <v>1.1014340546676579E-7</v>
      </c>
      <c r="D328" s="17">
        <v>30.700000800000002</v>
      </c>
      <c r="E328" s="8">
        <v>1.10705997E-7</v>
      </c>
    </row>
    <row r="329" spans="1:5">
      <c r="A329" s="17">
        <v>30.799999199999998</v>
      </c>
      <c r="B329" s="7">
        <f t="shared" si="9"/>
        <v>9.9831019711224545E-6</v>
      </c>
      <c r="C329" s="16">
        <f t="shared" si="10"/>
        <v>1.0796245445999228E-7</v>
      </c>
      <c r="D329" s="17">
        <v>30.799999199999998</v>
      </c>
      <c r="E329" s="8">
        <v>1.0851400100000001E-7</v>
      </c>
    </row>
    <row r="330" spans="1:5">
      <c r="A330" s="17">
        <v>30.899999600000001</v>
      </c>
      <c r="B330" s="7">
        <f t="shared" si="9"/>
        <v>9.9834365758378056E-6</v>
      </c>
      <c r="C330" s="16">
        <f t="shared" si="10"/>
        <v>1.0582464616265377E-7</v>
      </c>
      <c r="D330" s="17">
        <v>30.899999600000001</v>
      </c>
      <c r="E330" s="8">
        <v>1.06366002E-7</v>
      </c>
    </row>
    <row r="331" spans="1:5">
      <c r="A331" s="17">
        <v>31</v>
      </c>
      <c r="B331" s="7">
        <f t="shared" si="9"/>
        <v>9.9837645549096346E-6</v>
      </c>
      <c r="C331" s="16">
        <f t="shared" si="10"/>
        <v>1.0372916947345562E-7</v>
      </c>
      <c r="D331" s="17">
        <v>31</v>
      </c>
      <c r="E331" s="8">
        <v>1.0426000300000001E-7</v>
      </c>
    </row>
    <row r="332" spans="1:5">
      <c r="A332" s="17">
        <v>31.100000399999999</v>
      </c>
      <c r="B332" s="7">
        <f t="shared" si="9"/>
        <v>9.9840860395349967E-6</v>
      </c>
      <c r="C332" s="16">
        <f t="shared" si="10"/>
        <v>1.0167518616707873E-7</v>
      </c>
      <c r="D332" s="17">
        <v>31.100000399999999</v>
      </c>
      <c r="E332" s="8">
        <v>1.0219500299999999E-7</v>
      </c>
    </row>
    <row r="333" spans="1:5">
      <c r="A333" s="17">
        <v>31.200000800000002</v>
      </c>
      <c r="B333" s="7">
        <f t="shared" si="9"/>
        <v>9.9844011583130547E-6</v>
      </c>
      <c r="C333" s="16">
        <f t="shared" si="10"/>
        <v>9.966187461623643E-8</v>
      </c>
      <c r="D333" s="17">
        <v>31.200000800000002</v>
      </c>
      <c r="E333" s="8">
        <v>1.00172002E-7</v>
      </c>
    </row>
    <row r="334" spans="1:5">
      <c r="A334" s="17">
        <v>31.299999199999998</v>
      </c>
      <c r="B334" s="7">
        <f t="shared" si="9"/>
        <v>9.984710031180545E-6</v>
      </c>
      <c r="C334" s="16">
        <f t="shared" si="10"/>
        <v>9.7688468538403812E-8</v>
      </c>
      <c r="D334" s="17">
        <v>31.299999199999998</v>
      </c>
      <c r="E334" s="8">
        <v>9.8188202499999999E-8</v>
      </c>
    </row>
    <row r="335" spans="1:5">
      <c r="A335" s="17">
        <v>31.399999600000001</v>
      </c>
      <c r="B335" s="7">
        <f t="shared" si="9"/>
        <v>9.9850127940472447E-6</v>
      </c>
      <c r="C335" s="16">
        <f t="shared" si="10"/>
        <v>9.5754099598383501E-8</v>
      </c>
      <c r="D335" s="17">
        <v>31.399999600000001</v>
      </c>
      <c r="E335" s="8">
        <v>9.6244001200000005E-8</v>
      </c>
    </row>
    <row r="336" spans="1:5">
      <c r="A336" s="17">
        <v>31.5</v>
      </c>
      <c r="B336" s="7">
        <f t="shared" si="9"/>
        <v>9.9853095617837691E-6</v>
      </c>
      <c r="C336" s="16">
        <f t="shared" si="10"/>
        <v>9.3858033881374819E-8</v>
      </c>
      <c r="D336" s="17">
        <v>31.5</v>
      </c>
      <c r="E336" s="8">
        <v>9.4338297200000003E-8</v>
      </c>
    </row>
    <row r="337" spans="1:5">
      <c r="A337" s="17">
        <v>31.600000399999999</v>
      </c>
      <c r="B337" s="7">
        <f t="shared" si="9"/>
        <v>9.9856004531021196E-6</v>
      </c>
      <c r="C337" s="16">
        <f t="shared" si="10"/>
        <v>9.1999512929743233E-8</v>
      </c>
      <c r="D337" s="17">
        <v>31.600000399999999</v>
      </c>
      <c r="E337" s="8">
        <v>9.2470301599999997E-8</v>
      </c>
    </row>
    <row r="338" spans="1:5">
      <c r="A338" s="17">
        <v>31.700000800000002</v>
      </c>
      <c r="B338" s="7">
        <f t="shared" si="9"/>
        <v>9.9858855843636319E-6</v>
      </c>
      <c r="C338" s="16">
        <f t="shared" si="10"/>
        <v>9.0177793304378555E-8</v>
      </c>
      <c r="D338" s="17">
        <v>31.700000800000002</v>
      </c>
      <c r="E338" s="8">
        <v>9.0639297000000001E-8</v>
      </c>
    </row>
    <row r="339" spans="1:5">
      <c r="A339" s="17">
        <v>31.799999199999998</v>
      </c>
      <c r="B339" s="7">
        <f t="shared" si="9"/>
        <v>9.9861650640915546E-6</v>
      </c>
      <c r="C339" s="16">
        <f t="shared" si="10"/>
        <v>8.8392181644178069E-8</v>
      </c>
      <c r="D339" s="17">
        <v>31.799999199999998</v>
      </c>
      <c r="E339" s="8">
        <v>8.8844600999999994E-8</v>
      </c>
    </row>
    <row r="340" spans="1:5">
      <c r="A340" s="17">
        <v>31.899999600000001</v>
      </c>
      <c r="B340" s="7">
        <f t="shared" si="9"/>
        <v>9.9864390152621359E-6</v>
      </c>
      <c r="C340" s="16">
        <f t="shared" si="10"/>
        <v>8.6641892246960153E-8</v>
      </c>
      <c r="D340" s="17">
        <v>31.899999600000001</v>
      </c>
      <c r="E340" s="8">
        <v>8.7085396700000001E-8</v>
      </c>
    </row>
    <row r="341" spans="1:5">
      <c r="A341" s="17">
        <v>32</v>
      </c>
      <c r="B341" s="7">
        <f t="shared" ref="B341:B404" si="11">B$9 + B$10*(1 - EXP(-A341/B$11))</f>
        <v>9.9867075418146091E-6</v>
      </c>
      <c r="C341" s="16">
        <f t="shared" si="10"/>
        <v>8.4926261039156741E-8</v>
      </c>
      <c r="D341" s="17">
        <v>32</v>
      </c>
      <c r="E341" s="8">
        <v>8.53611013E-8</v>
      </c>
    </row>
    <row r="342" spans="1:5">
      <c r="A342" s="17">
        <v>32.099998499999998</v>
      </c>
      <c r="B342" s="7">
        <f t="shared" si="11"/>
        <v>9.9869707462129185E-6</v>
      </c>
      <c r="C342" s="16">
        <f t="shared" si="10"/>
        <v>8.3244596788799319E-8</v>
      </c>
      <c r="D342" s="17">
        <v>32.099998499999998</v>
      </c>
      <c r="E342" s="8">
        <v>8.3670897800000006E-8</v>
      </c>
    </row>
    <row r="343" spans="1:5">
      <c r="A343" s="17">
        <v>32.200000799999998</v>
      </c>
      <c r="B343" s="7">
        <f t="shared" si="11"/>
        <v>9.9872287485985028E-6</v>
      </c>
      <c r="C343" s="16">
        <f t="shared" si="10"/>
        <v>8.1596241657713896E-8</v>
      </c>
      <c r="D343" s="17">
        <v>32.200000799999998</v>
      </c>
      <c r="E343" s="8">
        <v>8.20140968E-8</v>
      </c>
    </row>
    <row r="344" spans="1:5">
      <c r="A344" s="17">
        <v>32.299999200000002</v>
      </c>
      <c r="B344" s="7">
        <f t="shared" si="11"/>
        <v>9.9874816323139087E-6</v>
      </c>
      <c r="C344" s="16">
        <f t="shared" si="10"/>
        <v>7.9980553413481833E-8</v>
      </c>
      <c r="D344" s="17">
        <v>32.299999200000002</v>
      </c>
      <c r="E344" s="8">
        <v>8.0390201199999998E-8</v>
      </c>
    </row>
    <row r="345" spans="1:5">
      <c r="A345" s="17">
        <v>32.400001500000002</v>
      </c>
      <c r="B345" s="7">
        <f t="shared" si="11"/>
        <v>9.9877295182465499E-6</v>
      </c>
      <c r="C345" s="16">
        <f t="shared" si="10"/>
        <v>7.8396830737273256E-8</v>
      </c>
      <c r="D345" s="17">
        <v>32.400001500000002</v>
      </c>
      <c r="E345" s="8">
        <v>7.8798400700000002E-8</v>
      </c>
    </row>
    <row r="346" spans="1:5">
      <c r="A346" s="17">
        <v>32.5</v>
      </c>
      <c r="B346" s="7">
        <f t="shared" si="11"/>
        <v>9.98797248645618E-6</v>
      </c>
      <c r="C346" s="16">
        <f t="shared" si="10"/>
        <v>7.6844458762117011E-8</v>
      </c>
      <c r="D346" s="17">
        <v>32.5</v>
      </c>
      <c r="E346" s="8">
        <v>7.7238198100000005E-8</v>
      </c>
    </row>
    <row r="347" spans="1:5">
      <c r="A347" s="17">
        <v>32.599998499999998</v>
      </c>
      <c r="B347" s="7">
        <f t="shared" si="11"/>
        <v>9.9882106436443626E-6</v>
      </c>
      <c r="C347" s="16">
        <f t="shared" si="10"/>
        <v>7.5322826023822322E-8</v>
      </c>
      <c r="D347" s="17">
        <v>32.599998499999998</v>
      </c>
      <c r="E347" s="8">
        <v>7.57087975E-8</v>
      </c>
    </row>
    <row r="348" spans="1:5">
      <c r="A348" s="17">
        <v>32.700000799999998</v>
      </c>
      <c r="B348" s="7">
        <f t="shared" si="11"/>
        <v>9.9884440938567811E-6</v>
      </c>
      <c r="C348" s="16">
        <f t="shared" si="10"/>
        <v>7.3831332623005208E-8</v>
      </c>
      <c r="D348" s="17">
        <v>32.700000799999998</v>
      </c>
      <c r="E348" s="8">
        <v>7.4209701500000003E-8</v>
      </c>
    </row>
    <row r="349" spans="1:5">
      <c r="A349" s="17">
        <v>32.799999200000002</v>
      </c>
      <c r="B349" s="7">
        <f t="shared" si="11"/>
        <v>9.9886729125048924E-6</v>
      </c>
      <c r="C349" s="16">
        <f t="shared" si="10"/>
        <v>7.2369397443742127E-8</v>
      </c>
      <c r="D349" s="17">
        <v>32.799999200000002</v>
      </c>
      <c r="E349" s="8">
        <v>7.2740299099999996E-8</v>
      </c>
    </row>
    <row r="350" spans="1:5">
      <c r="A350" s="17">
        <v>32.900001500000002</v>
      </c>
      <c r="B350" s="7">
        <f t="shared" si="11"/>
        <v>9.988897208972151E-6</v>
      </c>
      <c r="C350" s="16">
        <f t="shared" si="10"/>
        <v>7.0936385906516459E-8</v>
      </c>
      <c r="D350" s="17">
        <v>32.900001500000002</v>
      </c>
      <c r="E350" s="8">
        <v>7.1300000599999993E-8</v>
      </c>
    </row>
    <row r="351" spans="1:5">
      <c r="A351" s="17">
        <v>33</v>
      </c>
      <c r="B351" s="7">
        <f t="shared" si="11"/>
        <v>9.9891170556996182E-6</v>
      </c>
      <c r="C351" s="16">
        <f t="shared" si="10"/>
        <v>6.9531741656684928E-8</v>
      </c>
      <c r="D351" s="17">
        <v>33</v>
      </c>
      <c r="E351" s="8">
        <v>6.9888201899999993E-8</v>
      </c>
    </row>
    <row r="352" spans="1:5">
      <c r="A352" s="17">
        <v>33.099998499999998</v>
      </c>
      <c r="B352" s="7">
        <f t="shared" si="11"/>
        <v>9.989332549234859E-6</v>
      </c>
      <c r="C352" s="16">
        <f t="shared" si="10"/>
        <v>6.8154911418567325E-8</v>
      </c>
      <c r="D352" s="17">
        <v>33.099998499999998</v>
      </c>
      <c r="E352" s="8">
        <v>6.8504398600000001E-8</v>
      </c>
    </row>
    <row r="353" spans="1:5">
      <c r="A353" s="17">
        <v>33.200000799999998</v>
      </c>
      <c r="B353" s="7">
        <f t="shared" si="11"/>
        <v>9.9895437837223039E-6</v>
      </c>
      <c r="C353" s="16">
        <f t="shared" si="10"/>
        <v>6.6805352380753884E-8</v>
      </c>
      <c r="D353" s="17">
        <v>33.200000799999998</v>
      </c>
      <c r="E353" s="8">
        <v>6.71479015E-8</v>
      </c>
    </row>
    <row r="354" spans="1:5">
      <c r="A354" s="17">
        <v>33.299999200000002</v>
      </c>
      <c r="B354" s="7">
        <f t="shared" si="11"/>
        <v>9.9897508273970603E-6</v>
      </c>
      <c r="C354" s="16">
        <f t="shared" si="10"/>
        <v>6.54825387278152E-8</v>
      </c>
      <c r="D354" s="17">
        <v>33.299999200000002</v>
      </c>
      <c r="E354" s="8">
        <v>6.5818397799999999E-8</v>
      </c>
    </row>
    <row r="355" spans="1:5">
      <c r="A355" s="17">
        <v>33.400001500000002</v>
      </c>
      <c r="B355" s="7">
        <f t="shared" si="11"/>
        <v>9.989953779233368E-6</v>
      </c>
      <c r="C355" s="16">
        <f t="shared" si="10"/>
        <v>6.4185896268454212E-8</v>
      </c>
      <c r="D355" s="17">
        <v>33.400001500000002</v>
      </c>
      <c r="E355" s="8">
        <v>6.4515098999999994E-8</v>
      </c>
    </row>
    <row r="356" spans="1:5">
      <c r="A356" s="17">
        <v>33.5</v>
      </c>
      <c r="B356" s="7">
        <f t="shared" si="11"/>
        <v>9.9901527047786139E-6</v>
      </c>
      <c r="C356" s="16">
        <f t="shared" si="10"/>
        <v>6.2914921592179457E-8</v>
      </c>
      <c r="D356" s="17">
        <v>33.5</v>
      </c>
      <c r="E356" s="8">
        <v>6.3237699499999995E-8</v>
      </c>
    </row>
    <row r="357" spans="1:5">
      <c r="A357" s="17">
        <v>33.599998499999998</v>
      </c>
      <c r="B357" s="7">
        <f t="shared" si="11"/>
        <v>9.990347691392644E-6</v>
      </c>
      <c r="C357" s="16">
        <f t="shared" si="10"/>
        <v>6.1669114074445049E-8</v>
      </c>
      <c r="D357" s="17">
        <v>33.599998499999998</v>
      </c>
      <c r="E357" s="8">
        <v>6.1985502999999994E-8</v>
      </c>
    </row>
    <row r="358" spans="1:5">
      <c r="A358" s="17">
        <v>33.700000799999998</v>
      </c>
      <c r="B358" s="7">
        <f t="shared" si="11"/>
        <v>9.9905388242608655E-6</v>
      </c>
      <c r="C358" s="16">
        <f t="shared" si="10"/>
        <v>6.0447982559184974E-8</v>
      </c>
      <c r="D358" s="17">
        <v>33.700000799999998</v>
      </c>
      <c r="E358" s="8">
        <v>6.0758196699999995E-8</v>
      </c>
    </row>
    <row r="359" spans="1:5">
      <c r="A359" s="17">
        <v>33.799999200000002</v>
      </c>
      <c r="B359" s="7">
        <f t="shared" si="11"/>
        <v>9.9907261651249499E-6</v>
      </c>
      <c r="C359" s="16">
        <f t="shared" si="10"/>
        <v>5.9251051268914331E-8</v>
      </c>
      <c r="D359" s="17">
        <v>33.799999200000002</v>
      </c>
      <c r="E359" s="8">
        <v>5.9555098600000001E-8</v>
      </c>
    </row>
    <row r="360" spans="1:5">
      <c r="A360" s="17">
        <v>33.900001500000002</v>
      </c>
      <c r="B360" s="7">
        <f t="shared" si="11"/>
        <v>9.9909098035405015E-6</v>
      </c>
      <c r="C360" s="16">
        <f t="shared" si="10"/>
        <v>5.8077800653872445E-8</v>
      </c>
      <c r="D360" s="17">
        <v>33.900001500000002</v>
      </c>
      <c r="E360" s="8">
        <v>5.8375899700000002E-8</v>
      </c>
    </row>
    <row r="361" spans="1:5">
      <c r="A361" s="17">
        <v>34</v>
      </c>
      <c r="B361" s="7">
        <f t="shared" si="11"/>
        <v>9.9910897988172415E-6</v>
      </c>
      <c r="C361" s="16">
        <f t="shared" si="10"/>
        <v>5.6927775209401682E-8</v>
      </c>
      <c r="D361" s="17">
        <v>34</v>
      </c>
      <c r="E361" s="8">
        <v>5.7219999400000002E-8</v>
      </c>
    </row>
    <row r="362" spans="1:5">
      <c r="A362" s="17">
        <v>34.099998499999998</v>
      </c>
      <c r="B362" s="7">
        <f t="shared" si="11"/>
        <v>9.9912662300016348E-6</v>
      </c>
      <c r="C362" s="16">
        <f t="shared" si="10"/>
        <v>5.5800521951687303E-8</v>
      </c>
      <c r="D362" s="17">
        <v>34.099998499999998</v>
      </c>
      <c r="E362" s="8">
        <v>5.6086999900000003E-8</v>
      </c>
    </row>
    <row r="363" spans="1:5">
      <c r="A363" s="17">
        <v>34.200000799999998</v>
      </c>
      <c r="B363" s="7">
        <f t="shared" si="11"/>
        <v>9.9914391741726158E-6</v>
      </c>
      <c r="C363" s="16">
        <f t="shared" si="10"/>
        <v>5.4695596464334349E-8</v>
      </c>
      <c r="D363" s="17">
        <v>34.200000799999998</v>
      </c>
      <c r="E363" s="8">
        <v>5.4976499799999999E-8</v>
      </c>
    </row>
    <row r="364" spans="1:5">
      <c r="A364" s="17">
        <v>34.299999200000002</v>
      </c>
      <c r="B364" s="7">
        <f t="shared" si="11"/>
        <v>9.9916086871963677E-6</v>
      </c>
      <c r="C364" s="16">
        <f t="shared" si="10"/>
        <v>5.3612568246081348E-8</v>
      </c>
      <c r="D364" s="17">
        <v>34.299999200000002</v>
      </c>
      <c r="E364" s="8">
        <v>5.3887898600000003E-8</v>
      </c>
    </row>
    <row r="365" spans="1:5">
      <c r="A365" s="17">
        <v>34.400001500000002</v>
      </c>
      <c r="B365" s="7">
        <f t="shared" si="11"/>
        <v>9.9917748501061491E-6</v>
      </c>
      <c r="C365" s="16">
        <f t="shared" si="10"/>
        <v>5.2550967188858534E-8</v>
      </c>
      <c r="D365" s="17">
        <v>34.400001500000002</v>
      </c>
      <c r="E365" s="8">
        <v>5.2820901399999999E-8</v>
      </c>
    </row>
    <row r="366" spans="1:5">
      <c r="A366" s="17">
        <v>34.5</v>
      </c>
      <c r="B366" s="7">
        <f t="shared" si="11"/>
        <v>9.9919377165676129E-6</v>
      </c>
      <c r="C366" s="16">
        <f t="shared" si="10"/>
        <v>5.1510381135007438E-8</v>
      </c>
      <c r="D366" s="17">
        <v>34.5</v>
      </c>
      <c r="E366" s="8">
        <v>5.1775000299999997E-8</v>
      </c>
    </row>
    <row r="367" spans="1:5">
      <c r="A367" s="17">
        <v>34.599998499999998</v>
      </c>
      <c r="B367" s="7">
        <f t="shared" si="11"/>
        <v>9.9920973581049596E-6</v>
      </c>
      <c r="C367" s="16">
        <f t="shared" si="10"/>
        <v>5.0490400207824291E-8</v>
      </c>
      <c r="D367" s="17">
        <v>34.599998499999998</v>
      </c>
      <c r="E367" s="8">
        <v>5.0749800799999997E-8</v>
      </c>
    </row>
    <row r="368" spans="1:5">
      <c r="A368" s="17">
        <v>34.700000799999998</v>
      </c>
      <c r="B368" s="7">
        <f t="shared" si="11"/>
        <v>9.9922538444620945E-6</v>
      </c>
      <c r="C368" s="16">
        <f t="shared" si="10"/>
        <v>4.9490622282725392E-8</v>
      </c>
      <c r="D368" s="17">
        <v>34.700000799999998</v>
      </c>
      <c r="E368" s="8">
        <v>4.97449015E-8</v>
      </c>
    </row>
    <row r="369" spans="1:5">
      <c r="A369" s="17">
        <v>34.799999200000002</v>
      </c>
      <c r="B369" s="7">
        <f t="shared" si="11"/>
        <v>9.9924072261888307E-6</v>
      </c>
      <c r="C369" s="16">
        <f t="shared" si="10"/>
        <v>4.8510657826061738E-8</v>
      </c>
      <c r="D369" s="17">
        <v>34.799999200000002</v>
      </c>
      <c r="E369" s="8">
        <v>4.8759900999999999E-8</v>
      </c>
    </row>
    <row r="370" spans="1:5">
      <c r="A370" s="17">
        <v>34.900001500000002</v>
      </c>
      <c r="B370" s="7">
        <f t="shared" si="11"/>
        <v>9.9925575766070881E-6</v>
      </c>
      <c r="C370" s="16">
        <f t="shared" si="10"/>
        <v>4.7550081466457499E-8</v>
      </c>
      <c r="D370" s="17">
        <v>34.900001500000002</v>
      </c>
      <c r="E370" s="8">
        <v>4.7794500799999999E-8</v>
      </c>
    </row>
    <row r="371" spans="1:5">
      <c r="A371" s="17">
        <v>35</v>
      </c>
      <c r="B371" s="7">
        <f t="shared" si="11"/>
        <v>9.9927049442755646E-6</v>
      </c>
      <c r="C371" s="16">
        <f t="shared" si="10"/>
        <v>4.6608520268246966E-8</v>
      </c>
      <c r="D371" s="17">
        <v>35</v>
      </c>
      <c r="E371" s="8">
        <v>4.6848100499999998E-8</v>
      </c>
    </row>
    <row r="372" spans="1:5">
      <c r="A372" s="17">
        <v>35.099998499999998</v>
      </c>
      <c r="B372" s="7">
        <f t="shared" si="11"/>
        <v>9.9928493939120277E-6</v>
      </c>
      <c r="C372" s="16">
        <f t="shared" si="10"/>
        <v>4.5685603359648302E-8</v>
      </c>
      <c r="D372" s="17">
        <v>35.099998499999998</v>
      </c>
      <c r="E372" s="8">
        <v>4.5920501199999998E-8</v>
      </c>
    </row>
    <row r="373" spans="1:5">
      <c r="A373" s="17">
        <v>35.200000799999998</v>
      </c>
      <c r="B373" s="7">
        <f t="shared" si="11"/>
        <v>9.9929909886233762E-6</v>
      </c>
      <c r="C373" s="16">
        <f t="shared" si="10"/>
        <v>4.4780966883293334E-8</v>
      </c>
      <c r="D373" s="17">
        <v>35.200000799999998</v>
      </c>
      <c r="E373" s="8">
        <v>4.5011198300000001E-8</v>
      </c>
    </row>
    <row r="374" spans="1:5">
      <c r="A374" s="17">
        <v>35.299999200000002</v>
      </c>
      <c r="B374" s="7">
        <f t="shared" si="11"/>
        <v>9.993129774148971E-6</v>
      </c>
      <c r="C374" s="16">
        <f t="shared" si="10"/>
        <v>4.3894258374559497E-8</v>
      </c>
      <c r="D374" s="17">
        <v>35.299999200000002</v>
      </c>
      <c r="E374" s="8">
        <v>4.4120000100000002E-8</v>
      </c>
    </row>
    <row r="375" spans="1:5">
      <c r="A375" s="17">
        <v>35.400001500000002</v>
      </c>
      <c r="B375" s="7">
        <f t="shared" si="11"/>
        <v>9.9932658168332282E-6</v>
      </c>
      <c r="C375" s="16">
        <f t="shared" si="10"/>
        <v>4.3025092941509539E-8</v>
      </c>
      <c r="D375" s="17">
        <v>35.400001500000002</v>
      </c>
      <c r="E375" s="8">
        <v>4.3246398499999999E-8</v>
      </c>
    </row>
    <row r="376" spans="1:5">
      <c r="A376" s="17">
        <v>35.5</v>
      </c>
      <c r="B376" s="7">
        <f t="shared" si="11"/>
        <v>9.993399160613873E-6</v>
      </c>
      <c r="C376" s="16">
        <f t="shared" si="10"/>
        <v>4.217313313799781E-8</v>
      </c>
      <c r="D376" s="17">
        <v>35.5</v>
      </c>
      <c r="E376" s="8">
        <v>4.2389999100000002E-8</v>
      </c>
    </row>
    <row r="377" spans="1:5">
      <c r="A377" s="17">
        <v>35.599998499999998</v>
      </c>
      <c r="B377" s="7">
        <f t="shared" si="11"/>
        <v>9.9935298640499673E-6</v>
      </c>
      <c r="C377" s="16">
        <f t="shared" si="10"/>
        <v>4.13380433853593E-8</v>
      </c>
      <c r="D377" s="17">
        <v>35.599998499999998</v>
      </c>
      <c r="E377" s="8">
        <v>4.1550698899999998E-8</v>
      </c>
    </row>
    <row r="378" spans="1:5">
      <c r="A378" s="17">
        <v>35.700000799999998</v>
      </c>
      <c r="B378" s="7">
        <f t="shared" si="11"/>
        <v>9.9936579842429923E-6</v>
      </c>
      <c r="C378" s="16">
        <f t="shared" si="10"/>
        <v>4.0519494451834968E-8</v>
      </c>
      <c r="D378" s="17">
        <v>35.700000799999998</v>
      </c>
      <c r="E378" s="8">
        <v>4.0728000500000001E-8</v>
      </c>
    </row>
    <row r="379" spans="1:5">
      <c r="A379" s="17">
        <v>35.799999200000002</v>
      </c>
      <c r="B379" s="7">
        <f t="shared" si="11"/>
        <v>9.99378356257963E-6</v>
      </c>
      <c r="C379" s="16">
        <f t="shared" ref="C379:C421" si="12">D$1*(B379 - B279)</f>
        <v>3.9717167414239697E-8</v>
      </c>
      <c r="D379" s="17">
        <v>35.799999200000002</v>
      </c>
      <c r="E379" s="8">
        <v>3.9921499000000001E-8</v>
      </c>
    </row>
    <row r="380" spans="1:5">
      <c r="A380" s="17">
        <v>35.900001500000002</v>
      </c>
      <c r="B380" s="7">
        <f t="shared" si="11"/>
        <v>9.9939066590907975E-6</v>
      </c>
      <c r="C380" s="16">
        <f t="shared" si="12"/>
        <v>3.8930714007953627E-8</v>
      </c>
      <c r="D380" s="17">
        <v>35.900001500000002</v>
      </c>
      <c r="E380" s="8">
        <v>3.9130998900000003E-8</v>
      </c>
    </row>
    <row r="381" spans="1:5">
      <c r="A381" s="17">
        <v>36</v>
      </c>
      <c r="B381" s="7">
        <f t="shared" si="11"/>
        <v>9.9940273135329877E-6</v>
      </c>
      <c r="C381" s="16">
        <f t="shared" si="12"/>
        <v>3.8159828899073252E-8</v>
      </c>
      <c r="D381" s="17">
        <v>36</v>
      </c>
      <c r="E381" s="8">
        <v>3.8356201799999998E-8</v>
      </c>
    </row>
    <row r="382" spans="1:5">
      <c r="A382" s="17">
        <v>36.099998499999998</v>
      </c>
      <c r="B382" s="7">
        <f t="shared" si="11"/>
        <v>9.994145578892631E-6</v>
      </c>
      <c r="C382" s="16">
        <f t="shared" si="12"/>
        <v>3.7404208443466504E-8</v>
      </c>
      <c r="D382" s="17">
        <v>36.099998499999998</v>
      </c>
      <c r="E382" s="8">
        <v>3.7596699099999997E-8</v>
      </c>
    </row>
    <row r="383" spans="1:5">
      <c r="A383" s="17">
        <v>36.200000799999998</v>
      </c>
      <c r="B383" s="7">
        <f t="shared" si="11"/>
        <v>9.9942615068372854E-6</v>
      </c>
      <c r="C383" s="16">
        <f t="shared" si="12"/>
        <v>3.6663554739918577E-8</v>
      </c>
      <c r="D383" s="17">
        <v>36.200000799999998</v>
      </c>
      <c r="E383" s="8">
        <v>3.6852298999999997E-8</v>
      </c>
    </row>
    <row r="384" spans="1:5">
      <c r="A384" s="17">
        <v>36.299999200000002</v>
      </c>
      <c r="B384" s="7">
        <f t="shared" si="11"/>
        <v>9.9943751348151703E-6</v>
      </c>
      <c r="C384" s="16">
        <f t="shared" si="12"/>
        <v>3.5937579214802469E-8</v>
      </c>
      <c r="D384" s="17">
        <v>36.299999200000002</v>
      </c>
      <c r="E384" s="8">
        <v>3.6122599999999997E-8</v>
      </c>
    </row>
    <row r="385" spans="1:5">
      <c r="A385" s="17">
        <v>36.400001500000002</v>
      </c>
      <c r="B385" s="7">
        <f t="shared" si="11"/>
        <v>9.9944865171445029E-6</v>
      </c>
      <c r="C385" s="16">
        <f t="shared" si="12"/>
        <v>3.5225966745251413E-8</v>
      </c>
      <c r="D385" s="17">
        <v>36.400001500000002</v>
      </c>
      <c r="E385" s="8">
        <v>3.5407399699999997E-8</v>
      </c>
    </row>
    <row r="386" spans="1:5">
      <c r="A386" s="17">
        <v>36.5</v>
      </c>
      <c r="B386" s="7">
        <f t="shared" si="11"/>
        <v>9.9945956897984504E-6</v>
      </c>
      <c r="C386" s="16">
        <f t="shared" si="12"/>
        <v>3.45284410537311E-8</v>
      </c>
      <c r="D386" s="17">
        <v>36.5</v>
      </c>
      <c r="E386" s="8">
        <v>3.4706300099999998E-8</v>
      </c>
    </row>
    <row r="387" spans="1:5">
      <c r="A387" s="17">
        <v>36.599998499999998</v>
      </c>
      <c r="B387" s="7">
        <f t="shared" si="11"/>
        <v>9.9947027007211124E-6</v>
      </c>
      <c r="C387" s="16">
        <f t="shared" si="12"/>
        <v>3.3844727391666061E-8</v>
      </c>
      <c r="D387" s="17">
        <v>36.599998499999998</v>
      </c>
      <c r="E387" s="8">
        <v>3.4019098599999997E-8</v>
      </c>
    </row>
    <row r="388" spans="1:5">
      <c r="A388" s="17">
        <v>36.700000799999998</v>
      </c>
      <c r="B388" s="7">
        <f t="shared" si="11"/>
        <v>9.9948075966632323E-6</v>
      </c>
      <c r="C388" s="16">
        <f t="shared" si="12"/>
        <v>3.317455620688905E-8</v>
      </c>
      <c r="D388" s="17">
        <v>36.700000799999998</v>
      </c>
      <c r="E388" s="8">
        <v>3.3345500600000003E-8</v>
      </c>
    </row>
    <row r="389" spans="1:5">
      <c r="A389" s="17">
        <v>36.799999200000002</v>
      </c>
      <c r="B389" s="7">
        <f t="shared" si="11"/>
        <v>9.9949104115093586E-6</v>
      </c>
      <c r="C389" s="16">
        <f t="shared" si="12"/>
        <v>3.2517666387184299E-8</v>
      </c>
      <c r="D389" s="17">
        <v>36.799999200000002</v>
      </c>
      <c r="E389" s="8">
        <v>3.2685200300000001E-8</v>
      </c>
    </row>
    <row r="390" spans="1:5">
      <c r="A390" s="17">
        <v>36.900001500000002</v>
      </c>
      <c r="B390" s="7">
        <f t="shared" si="11"/>
        <v>9.9950111944086474E-6</v>
      </c>
      <c r="C390" s="16">
        <f t="shared" si="12"/>
        <v>3.1873772797595662E-8</v>
      </c>
      <c r="D390" s="17">
        <v>36.900001500000002</v>
      </c>
      <c r="E390" s="8">
        <v>3.20379989E-8</v>
      </c>
    </row>
    <row r="391" spans="1:5">
      <c r="A391" s="17">
        <v>37</v>
      </c>
      <c r="B391" s="7">
        <f t="shared" si="11"/>
        <v>9.9951099779109639E-6</v>
      </c>
      <c r="C391" s="16">
        <f t="shared" si="12"/>
        <v>3.1242625451864708E-8</v>
      </c>
      <c r="D391" s="17">
        <v>37</v>
      </c>
      <c r="E391" s="8">
        <v>3.1403601499999998E-8</v>
      </c>
    </row>
    <row r="392" spans="1:5">
      <c r="A392" s="17">
        <v>37.099998499999998</v>
      </c>
      <c r="B392" s="7">
        <f t="shared" si="11"/>
        <v>9.9952068053979289E-6</v>
      </c>
      <c r="C392" s="16">
        <f t="shared" si="12"/>
        <v>3.0623975747207162E-8</v>
      </c>
      <c r="D392" s="17">
        <v>37.099998499999998</v>
      </c>
      <c r="E392" s="8">
        <v>3.0781798399999999E-8</v>
      </c>
    </row>
    <row r="393" spans="1:5">
      <c r="A393" s="17">
        <v>37.200000799999998</v>
      </c>
      <c r="B393" s="7">
        <f t="shared" si="11"/>
        <v>9.9953017191713571E-6</v>
      </c>
      <c r="C393" s="16">
        <f t="shared" si="12"/>
        <v>3.0017579782728806E-8</v>
      </c>
      <c r="D393" s="17">
        <v>37.200000799999998</v>
      </c>
      <c r="E393" s="8">
        <v>3.0172298400000003E-8</v>
      </c>
    </row>
    <row r="394" spans="1:5">
      <c r="A394" s="17">
        <v>37.299999200000002</v>
      </c>
      <c r="B394" s="7">
        <f t="shared" si="11"/>
        <v>9.9953947498912628E-6</v>
      </c>
      <c r="C394" s="16">
        <f t="shared" si="12"/>
        <v>2.9423201294333652E-8</v>
      </c>
      <c r="D394" s="17">
        <v>37.299999200000002</v>
      </c>
      <c r="E394" s="8">
        <v>2.95749008E-8</v>
      </c>
    </row>
    <row r="395" spans="1:5">
      <c r="A395" s="17">
        <v>37.400001500000002</v>
      </c>
      <c r="B395" s="7">
        <f t="shared" si="11"/>
        <v>9.9954859420296371E-6</v>
      </c>
      <c r="C395" s="16">
        <f t="shared" si="12"/>
        <v>2.8840582281240858E-8</v>
      </c>
      <c r="D395" s="17">
        <v>37.400001500000002</v>
      </c>
      <c r="E395" s="8">
        <v>2.8989299799999999E-8</v>
      </c>
    </row>
    <row r="396" spans="1:5">
      <c r="A396" s="17">
        <v>37.5</v>
      </c>
      <c r="B396" s="7">
        <f t="shared" si="11"/>
        <v>9.9955753250388185E-6</v>
      </c>
      <c r="C396" s="16">
        <f t="shared" si="12"/>
        <v>2.826949654653075E-8</v>
      </c>
      <c r="D396" s="17">
        <v>37.5</v>
      </c>
      <c r="E396" s="8">
        <v>2.8415300300000001E-8</v>
      </c>
    </row>
    <row r="397" spans="1:5">
      <c r="A397" s="17">
        <v>37.599998499999998</v>
      </c>
      <c r="B397" s="7">
        <f t="shared" si="11"/>
        <v>9.9956629381721178E-6</v>
      </c>
      <c r="C397" s="16">
        <f t="shared" si="12"/>
        <v>2.7709719145098399E-8</v>
      </c>
      <c r="D397" s="17">
        <v>37.599998499999998</v>
      </c>
      <c r="E397" s="8">
        <v>2.78526002E-8</v>
      </c>
    </row>
    <row r="398" spans="1:5">
      <c r="A398" s="17">
        <v>37.700000799999998</v>
      </c>
      <c r="B398" s="7">
        <f t="shared" si="11"/>
        <v>9.9957488197058038E-6</v>
      </c>
      <c r="C398" s="16">
        <f t="shared" si="12"/>
        <v>2.7161029386293942E-8</v>
      </c>
      <c r="D398" s="17">
        <v>37.700000799999998</v>
      </c>
      <c r="E398" s="8">
        <v>2.73011E-8</v>
      </c>
    </row>
    <row r="399" spans="1:5">
      <c r="A399" s="17">
        <v>37.799999200000002</v>
      </c>
      <c r="B399" s="7">
        <f t="shared" si="11"/>
        <v>9.9958329973821993E-6</v>
      </c>
      <c r="C399" s="16">
        <f t="shared" si="12"/>
        <v>2.6623213489516558E-8</v>
      </c>
      <c r="D399" s="17">
        <v>37.799999200000002</v>
      </c>
      <c r="E399" s="8">
        <v>2.6760600799999999E-8</v>
      </c>
    </row>
    <row r="400" spans="1:5">
      <c r="A400" s="17">
        <v>37.900001500000002</v>
      </c>
      <c r="B400" s="7">
        <f t="shared" si="11"/>
        <v>9.9959155114412325E-6</v>
      </c>
      <c r="C400" s="16">
        <f t="shared" si="12"/>
        <v>2.6096038006011264E-8</v>
      </c>
      <c r="D400" s="17">
        <v>37.900001500000002</v>
      </c>
      <c r="E400" s="8">
        <v>2.6230699399999999E-8</v>
      </c>
    </row>
    <row r="401" spans="1:5">
      <c r="A401" s="17">
        <v>38</v>
      </c>
      <c r="B401" s="7">
        <f t="shared" si="11"/>
        <v>9.9959963885324759E-6</v>
      </c>
      <c r="C401" s="16">
        <f t="shared" si="12"/>
        <v>2.5579298264338961E-8</v>
      </c>
      <c r="D401" s="17">
        <v>38</v>
      </c>
      <c r="E401" s="8">
        <v>2.5711299800000001E-8</v>
      </c>
    </row>
    <row r="402" spans="1:5">
      <c r="A402" s="17">
        <v>38.099998499999998</v>
      </c>
      <c r="B402" s="7">
        <f t="shared" si="11"/>
        <v>9.9960756641737965E-6</v>
      </c>
      <c r="C402" s="16">
        <f t="shared" si="12"/>
        <v>2.5072790725751972E-8</v>
      </c>
      <c r="D402" s="17">
        <v>38.099998499999998</v>
      </c>
      <c r="E402" s="8">
        <v>2.52021994E-8</v>
      </c>
    </row>
    <row r="403" spans="1:5">
      <c r="A403" s="17">
        <v>38.200000799999998</v>
      </c>
      <c r="B403" s="7">
        <f t="shared" si="11"/>
        <v>9.996153372998994E-6</v>
      </c>
      <c r="C403" s="16">
        <f t="shared" si="12"/>
        <v>2.4576315701092875E-8</v>
      </c>
      <c r="D403" s="17">
        <v>38.200000799999998</v>
      </c>
      <c r="E403" s="8">
        <v>2.4703199499999999E-8</v>
      </c>
    </row>
    <row r="404" spans="1:5">
      <c r="A404" s="17">
        <v>38.299999200000002</v>
      </c>
      <c r="B404" s="7">
        <f t="shared" si="11"/>
        <v>9.9962295401103609E-6</v>
      </c>
      <c r="C404" s="16">
        <f t="shared" si="12"/>
        <v>2.4089679753674511E-8</v>
      </c>
      <c r="D404" s="17">
        <v>38.299999200000002</v>
      </c>
      <c r="E404" s="8">
        <v>2.4213999699999999E-8</v>
      </c>
    </row>
    <row r="405" spans="1:5">
      <c r="A405" s="17">
        <v>38.400001500000002</v>
      </c>
      <c r="B405" s="7">
        <f t="shared" ref="B405:B468" si="13">B$9 + B$10*(1 - EXP(-A405/B$11))</f>
        <v>9.9963042019184876E-6</v>
      </c>
      <c r="C405" s="16">
        <f t="shared" si="12"/>
        <v>2.3612671650327318E-8</v>
      </c>
      <c r="D405" s="17">
        <v>38.400001500000002</v>
      </c>
      <c r="E405" s="8">
        <v>2.37346001E-8</v>
      </c>
    </row>
    <row r="406" spans="1:5">
      <c r="A406" s="17">
        <v>38.5</v>
      </c>
      <c r="B406" s="7">
        <f t="shared" si="13"/>
        <v>9.9963773825369063E-6</v>
      </c>
      <c r="C406" s="16">
        <f t="shared" si="12"/>
        <v>2.314510619667573E-8</v>
      </c>
      <c r="D406" s="17">
        <v>38.5</v>
      </c>
      <c r="E406" s="8">
        <v>2.32645991E-8</v>
      </c>
    </row>
    <row r="407" spans="1:5">
      <c r="A407" s="17">
        <v>38.599998499999998</v>
      </c>
      <c r="B407" s="7">
        <f t="shared" si="13"/>
        <v>9.9964491141035123E-6</v>
      </c>
      <c r="C407" s="16">
        <f t="shared" si="12"/>
        <v>2.2686799223245574E-8</v>
      </c>
      <c r="D407" s="17">
        <v>38.599998499999998</v>
      </c>
      <c r="E407" s="8">
        <v>2.2804000499999999E-8</v>
      </c>
    </row>
    <row r="408" spans="1:5">
      <c r="A408" s="17">
        <v>38.700000799999998</v>
      </c>
      <c r="B408" s="7">
        <f t="shared" si="13"/>
        <v>9.9965194279562631E-6</v>
      </c>
      <c r="C408" s="16">
        <f t="shared" si="12"/>
        <v>2.2237570043814571E-8</v>
      </c>
      <c r="D408" s="17">
        <v>38.700000799999998</v>
      </c>
      <c r="E408" s="8">
        <v>2.2352400799999999E-8</v>
      </c>
    </row>
    <row r="409" spans="1:5">
      <c r="A409" s="17">
        <v>38.799999200000002</v>
      </c>
      <c r="B409" s="7">
        <f t="shared" si="13"/>
        <v>9.9965883468086505E-6</v>
      </c>
      <c r="C409" s="16">
        <f t="shared" si="12"/>
        <v>2.1797243629627331E-8</v>
      </c>
      <c r="D409" s="17">
        <v>38.799999200000002</v>
      </c>
      <c r="E409" s="8">
        <v>2.1909800200000001E-8</v>
      </c>
    </row>
    <row r="410" spans="1:5">
      <c r="A410" s="17">
        <v>38.900001500000002</v>
      </c>
      <c r="B410" s="7">
        <f t="shared" si="13"/>
        <v>9.9966559036063428E-6</v>
      </c>
      <c r="C410" s="16">
        <f t="shared" si="12"/>
        <v>2.1365628849013901E-8</v>
      </c>
      <c r="D410" s="17">
        <v>38.900001500000002</v>
      </c>
      <c r="E410" s="8">
        <v>2.14759996E-8</v>
      </c>
    </row>
    <row r="411" spans="1:5">
      <c r="A411" s="17">
        <v>39</v>
      </c>
      <c r="B411" s="7">
        <f t="shared" si="13"/>
        <v>9.9967221201681633E-6</v>
      </c>
      <c r="C411" s="16">
        <f t="shared" si="12"/>
        <v>2.09425581311695E-8</v>
      </c>
      <c r="D411" s="17">
        <v>39</v>
      </c>
      <c r="E411" s="8">
        <v>2.10508002E-8</v>
      </c>
    </row>
    <row r="412" spans="1:5">
      <c r="A412" s="17">
        <v>39.099998499999998</v>
      </c>
      <c r="B412" s="7">
        <f t="shared" si="13"/>
        <v>9.9967870255736814E-6</v>
      </c>
      <c r="C412" s="16">
        <f t="shared" si="12"/>
        <v>2.0527864832661677E-8</v>
      </c>
      <c r="D412" s="17">
        <v>39.099998499999998</v>
      </c>
      <c r="E412" s="8">
        <v>2.0633899900000001E-8</v>
      </c>
    </row>
    <row r="413" spans="1:5">
      <c r="A413" s="17">
        <v>39.200000799999998</v>
      </c>
      <c r="B413" s="7">
        <f t="shared" si="13"/>
        <v>9.9968506481786567E-6</v>
      </c>
      <c r="C413" s="16">
        <f t="shared" si="12"/>
        <v>2.0121385461838778E-8</v>
      </c>
      <c r="D413" s="17">
        <v>39.200000799999998</v>
      </c>
      <c r="E413" s="8">
        <v>2.0225399999999999E-8</v>
      </c>
    </row>
    <row r="414" spans="1:5">
      <c r="A414" s="17">
        <v>39.299999200000002</v>
      </c>
      <c r="B414" s="7">
        <f t="shared" si="13"/>
        <v>9.9969130085351068E-6</v>
      </c>
      <c r="C414" s="16">
        <f t="shared" si="12"/>
        <v>1.9722961646135117E-8</v>
      </c>
      <c r="D414" s="17">
        <v>39.299999200000002</v>
      </c>
      <c r="E414" s="8">
        <v>1.9824900799999999E-8</v>
      </c>
    </row>
    <row r="415" spans="1:5">
      <c r="A415" s="17">
        <v>39.400001500000002</v>
      </c>
      <c r="B415" s="7">
        <f t="shared" si="13"/>
        <v>9.9969741364534993E-6</v>
      </c>
      <c r="C415" s="16">
        <f t="shared" si="12"/>
        <v>1.9332420442456387E-8</v>
      </c>
      <c r="D415" s="17">
        <v>39.400001500000002</v>
      </c>
      <c r="E415" s="8">
        <v>1.94324006E-8</v>
      </c>
    </row>
    <row r="416" spans="1:5">
      <c r="A416" s="17">
        <v>39.5</v>
      </c>
      <c r="B416" s="7">
        <f t="shared" si="13"/>
        <v>9.9970340516763288E-6</v>
      </c>
      <c r="C416" s="16">
        <f t="shared" si="12"/>
        <v>1.8949610226475549E-8</v>
      </c>
      <c r="D416" s="17">
        <v>39.5</v>
      </c>
      <c r="E416" s="8">
        <v>1.9047600800000001E-8</v>
      </c>
    </row>
    <row r="417" spans="1:5">
      <c r="A417" s="17">
        <v>39.599998499999998</v>
      </c>
      <c r="B417" s="7">
        <f t="shared" si="13"/>
        <v>9.9970927805158744E-6</v>
      </c>
      <c r="C417" s="16">
        <f t="shared" si="12"/>
        <v>1.8574380212975364E-8</v>
      </c>
      <c r="D417" s="17">
        <v>39.599998499999998</v>
      </c>
      <c r="E417" s="8">
        <v>1.8670400300000001E-8</v>
      </c>
    </row>
    <row r="418" spans="1:5">
      <c r="A418" s="17">
        <v>39.700000799999998</v>
      </c>
      <c r="B418" s="7">
        <f t="shared" si="13"/>
        <v>9.9971503486294891E-6</v>
      </c>
      <c r="C418" s="16">
        <f t="shared" si="12"/>
        <v>1.8206582468596882E-8</v>
      </c>
      <c r="D418" s="17">
        <v>39.700000799999998</v>
      </c>
      <c r="E418" s="8">
        <v>1.83006996E-8</v>
      </c>
    </row>
    <row r="419" spans="1:5">
      <c r="A419" s="17">
        <v>39.799999200000002</v>
      </c>
      <c r="B419" s="7">
        <f t="shared" si="13"/>
        <v>9.9972067746134068E-6</v>
      </c>
      <c r="C419" s="16">
        <f t="shared" si="12"/>
        <v>1.784607369191137E-8</v>
      </c>
      <c r="D419" s="17">
        <v>39.799999200000002</v>
      </c>
      <c r="E419" s="8">
        <v>1.79383992E-8</v>
      </c>
    </row>
    <row r="420" spans="1:5">
      <c r="A420" s="17">
        <v>39.900001500000002</v>
      </c>
      <c r="B420" s="7">
        <f t="shared" si="13"/>
        <v>9.9972620854412546E-6</v>
      </c>
      <c r="C420" s="16">
        <f t="shared" si="12"/>
        <v>1.7492697397535772E-8</v>
      </c>
      <c r="D420" s="17">
        <v>39.900001500000002</v>
      </c>
      <c r="E420" s="8">
        <v>1.7583200699999999E-8</v>
      </c>
    </row>
    <row r="421" spans="1:5" ht="16" thickBot="1">
      <c r="A421" s="18">
        <v>40</v>
      </c>
      <c r="B421" s="9">
        <f t="shared" si="13"/>
        <v>9.9973162989767811E-6</v>
      </c>
      <c r="C421" s="33">
        <f t="shared" si="12"/>
        <v>1.7146316390110442E-8</v>
      </c>
      <c r="D421" s="18">
        <v>40</v>
      </c>
      <c r="E421" s="10">
        <v>1.7234999200000002E-8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Universidade Federal do Ceará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 Junior</dc:creator>
  <cp:lastModifiedBy>Evandro Parente Junior</cp:lastModifiedBy>
  <dcterms:created xsi:type="dcterms:W3CDTF">2014-03-15T13:18:58Z</dcterms:created>
  <dcterms:modified xsi:type="dcterms:W3CDTF">2014-03-15T22:17:24Z</dcterms:modified>
</cp:coreProperties>
</file>