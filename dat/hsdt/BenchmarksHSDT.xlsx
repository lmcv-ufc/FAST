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AppData\Local\Temp\Rar$DIa9764.9058\"/>
    </mc:Choice>
  </mc:AlternateContent>
  <xr:revisionPtr revIDLastSave="0" documentId="13_ncr:1_{C2A0023C-DE5D-479C-A913-701BA77C3014}" xr6:coauthVersionLast="47" xr6:coauthVersionMax="47" xr10:uidLastSave="{00000000-0000-0000-0000-000000000000}"/>
  <bookViews>
    <workbookView xWindow="-120" yWindow="-120" windowWidth="20730" windowHeight="11160" activeTab="1" xr2:uid="{EA4BFBCE-E913-D94A-A6E9-E3EAC000C26F}"/>
  </bookViews>
  <sheets>
    <sheet name="Isotropic" sheetId="2" r:id="rId1"/>
    <sheet name="FGMSquarePlate" sheetId="3" r:id="rId2"/>
    <sheet name="FGMCircularPlate" sheetId="4" r:id="rId3"/>
    <sheet name="IsoFreq" sheetId="1" r:id="rId4"/>
    <sheet name="FGMFreq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5" l="1"/>
  <c r="J19" i="5"/>
  <c r="J18" i="5"/>
  <c r="J17" i="5"/>
  <c r="J16" i="5"/>
  <c r="J15" i="5"/>
  <c r="J14" i="5"/>
  <c r="J13" i="5"/>
  <c r="J12" i="5"/>
  <c r="H20" i="5"/>
  <c r="H19" i="5"/>
  <c r="H18" i="5"/>
  <c r="H17" i="5"/>
  <c r="H16" i="5"/>
  <c r="H15" i="5"/>
  <c r="H14" i="5"/>
  <c r="H13" i="5"/>
  <c r="H12" i="5"/>
  <c r="F20" i="5"/>
  <c r="F19" i="5"/>
  <c r="F18" i="5"/>
  <c r="F17" i="5"/>
  <c r="F16" i="5"/>
  <c r="F15" i="5"/>
  <c r="F14" i="5"/>
  <c r="F13" i="5"/>
  <c r="F12" i="5"/>
  <c r="D19" i="5"/>
  <c r="D20" i="5"/>
  <c r="D18" i="5"/>
  <c r="D16" i="5"/>
  <c r="D17" i="5"/>
  <c r="D15" i="5"/>
  <c r="D13" i="5"/>
  <c r="D14" i="5"/>
  <c r="D12" i="5"/>
  <c r="J25" i="4" l="1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D22" i="4"/>
  <c r="D23" i="4"/>
  <c r="D24" i="4"/>
  <c r="D25" i="4"/>
  <c r="D21" i="4"/>
  <c r="D17" i="4"/>
  <c r="D18" i="4"/>
  <c r="D19" i="4"/>
  <c r="D20" i="4"/>
  <c r="D16" i="4"/>
  <c r="D12" i="4"/>
  <c r="D13" i="4"/>
  <c r="D14" i="4"/>
  <c r="D15" i="4"/>
  <c r="D11" i="4"/>
  <c r="J12" i="3" l="1"/>
  <c r="J13" i="3"/>
  <c r="J14" i="3"/>
  <c r="J15" i="3"/>
  <c r="J16" i="3"/>
  <c r="J11" i="3"/>
  <c r="H12" i="3"/>
  <c r="H13" i="3"/>
  <c r="H14" i="3"/>
  <c r="H15" i="3"/>
  <c r="H16" i="3"/>
  <c r="H11" i="3"/>
  <c r="F12" i="3"/>
  <c r="F13" i="3"/>
  <c r="F14" i="3"/>
  <c r="F15" i="3"/>
  <c r="F16" i="3"/>
  <c r="F11" i="3"/>
  <c r="D12" i="3"/>
  <c r="D13" i="3"/>
  <c r="D14" i="3"/>
  <c r="D15" i="3"/>
  <c r="D16" i="3"/>
  <c r="D11" i="3"/>
  <c r="I9" i="2" l="1"/>
  <c r="I10" i="2"/>
  <c r="I11" i="2"/>
  <c r="G9" i="2"/>
  <c r="G10" i="2"/>
  <c r="G11" i="2"/>
  <c r="E9" i="2"/>
  <c r="E10" i="2"/>
  <c r="E11" i="2"/>
  <c r="C9" i="2"/>
  <c r="C10" i="2"/>
  <c r="C11" i="2"/>
  <c r="I8" i="2"/>
  <c r="G8" i="2"/>
  <c r="E8" i="2"/>
  <c r="C8" i="2"/>
  <c r="B6" i="1"/>
  <c r="C11" i="1" s="1"/>
  <c r="E10" i="1" l="1"/>
  <c r="I10" i="1"/>
  <c r="E11" i="1"/>
  <c r="G11" i="1"/>
  <c r="I11" i="1"/>
  <c r="E12" i="1"/>
  <c r="G12" i="1"/>
  <c r="I12" i="1"/>
  <c r="G10" i="1"/>
  <c r="C10" i="1"/>
  <c r="E13" i="1"/>
  <c r="G13" i="1"/>
  <c r="I13" i="1"/>
  <c r="C13" i="1"/>
  <c r="C12" i="1"/>
</calcChain>
</file>

<file path=xl/sharedStrings.xml><?xml version="1.0" encoding="utf-8"?>
<sst xmlns="http://schemas.openxmlformats.org/spreadsheetml/2006/main" count="97" uniqueCount="25">
  <si>
    <t>E (Pa)</t>
  </si>
  <si>
    <t xml:space="preserve">nu </t>
  </si>
  <si>
    <t>h (m)</t>
  </si>
  <si>
    <t>a (m)</t>
  </si>
  <si>
    <t>w (rad/s)</t>
  </si>
  <si>
    <t>rho (kg)</t>
  </si>
  <si>
    <t>wnorm</t>
  </si>
  <si>
    <t>Mode</t>
  </si>
  <si>
    <t>facnorm</t>
  </si>
  <si>
    <t>TSDT</t>
  </si>
  <si>
    <t>ESDT</t>
  </si>
  <si>
    <t>SSDT</t>
  </si>
  <si>
    <t>SHSDT</t>
  </si>
  <si>
    <t>q (Pa)</t>
  </si>
  <si>
    <t>w (m)</t>
  </si>
  <si>
    <t>N</t>
  </si>
  <si>
    <t>h/a</t>
  </si>
  <si>
    <t>nu_m</t>
  </si>
  <si>
    <t>nu_c</t>
  </si>
  <si>
    <t>E_m (Pa)</t>
  </si>
  <si>
    <t>E_c (Pa)</t>
  </si>
  <si>
    <t>h/R</t>
  </si>
  <si>
    <t>R (m)</t>
  </si>
  <si>
    <t>rho_m (kg)</t>
  </si>
  <si>
    <t>rho_c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</si>
</sst>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E+00"/>
    <numFmt numFmtId="168" formatCode="0.00000"/>
    <numFmt numFmtId="169" formatCode="0.0000E+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11" fontId="0" fillId="0" borderId="0" xfId="0" applyNumberFormat="1"/>
    <xf numFmtId="169" fontId="0" fillId="0" borderId="0" xfId="0" applyNumberFormat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 applyAlignment="1">
      <alignment horizontal="center" vertical="center"/>
    </xf>
    <xf numFmtId="169" fontId="0" fillId="0" borderId="1" xfId="0" applyNumberFormat="1" applyBorder="1"/>
    <xf numFmtId="164" fontId="0" fillId="0" borderId="0" xfId="0" applyNumberFormat="1" applyAlignment="1">
      <alignment horizontal="right"/>
    </xf>
    <xf numFmtId="166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B20C-8AFC-7345-9B33-65EA90E0AC7C}">
  <dimension ref="A1:I11"/>
  <sheetViews>
    <sheetView zoomScale="130" zoomScaleNormal="130" workbookViewId="0">
      <selection activeCell="D7" sqref="D7"/>
    </sheetView>
  </sheetViews>
  <sheetFormatPr defaultColWidth="11" defaultRowHeight="15.75" x14ac:dyDescent="0.25"/>
  <sheetData>
    <row r="1" spans="1:9" x14ac:dyDescent="0.25">
      <c r="A1" t="s">
        <v>0</v>
      </c>
      <c r="B1" s="1">
        <v>20000000000</v>
      </c>
    </row>
    <row r="2" spans="1:9" x14ac:dyDescent="0.25">
      <c r="A2" t="s">
        <v>1</v>
      </c>
      <c r="B2" s="2">
        <v>0.3</v>
      </c>
    </row>
    <row r="3" spans="1:9" x14ac:dyDescent="0.25">
      <c r="A3" t="s">
        <v>13</v>
      </c>
      <c r="B3" s="3">
        <v>1000000</v>
      </c>
    </row>
    <row r="4" spans="1:9" x14ac:dyDescent="0.25">
      <c r="A4" t="s">
        <v>3</v>
      </c>
      <c r="B4" s="3">
        <v>1</v>
      </c>
    </row>
    <row r="6" spans="1:9" x14ac:dyDescent="0.25">
      <c r="A6" s="24" t="s">
        <v>16</v>
      </c>
      <c r="B6" s="23" t="s">
        <v>9</v>
      </c>
      <c r="C6" s="23"/>
      <c r="D6" s="23" t="s">
        <v>10</v>
      </c>
      <c r="E6" s="23"/>
      <c r="F6" s="23" t="s">
        <v>11</v>
      </c>
      <c r="G6" s="23"/>
      <c r="H6" s="23" t="s">
        <v>12</v>
      </c>
      <c r="I6" s="23"/>
    </row>
    <row r="7" spans="1:9" x14ac:dyDescent="0.25">
      <c r="A7" s="25"/>
      <c r="B7" s="7" t="s">
        <v>14</v>
      </c>
      <c r="C7" s="7" t="s">
        <v>6</v>
      </c>
      <c r="D7" s="7" t="s">
        <v>14</v>
      </c>
      <c r="E7" s="7" t="s">
        <v>6</v>
      </c>
      <c r="F7" s="7" t="s">
        <v>14</v>
      </c>
      <c r="G7" s="7" t="s">
        <v>6</v>
      </c>
      <c r="H7" s="7" t="s">
        <v>14</v>
      </c>
      <c r="I7" s="7" t="s">
        <v>6</v>
      </c>
    </row>
    <row r="8" spans="1:9" x14ac:dyDescent="0.25">
      <c r="A8" s="5">
        <v>0.2</v>
      </c>
      <c r="B8" s="8">
        <v>3.3461299999999999E-4</v>
      </c>
      <c r="C8" s="9">
        <f>B8*100*$B$1*$A8^3/($B$3*$B$4^4)</f>
        <v>5.3538080000000008</v>
      </c>
      <c r="D8" s="8">
        <v>3.3421900000000002E-4</v>
      </c>
      <c r="E8" s="9">
        <f>D8*100*$B$1*$A8^3/($B$3*$B$4^4)</f>
        <v>5.3475040000000016</v>
      </c>
      <c r="F8" s="8">
        <v>3.3450599999999999E-4</v>
      </c>
      <c r="G8" s="9">
        <f>F8*100*$B$1*$A8^3/($B$3*$B$4^4)</f>
        <v>5.3520960000000004</v>
      </c>
      <c r="H8" s="8">
        <v>3.3461500000000002E-4</v>
      </c>
      <c r="I8" s="9">
        <f>H8*100*$B$1*$A8^3/($B$3*$B$4^4)</f>
        <v>5.3538400000000017</v>
      </c>
    </row>
    <row r="9" spans="1:9" x14ac:dyDescent="0.25">
      <c r="A9" s="5">
        <v>0.1</v>
      </c>
      <c r="B9" s="8">
        <v>2.33292E-3</v>
      </c>
      <c r="C9" s="9">
        <f t="shared" ref="C9:C11" si="0">B9*100*$B$1*$A9^3/($B$3*$B$4^4)</f>
        <v>4.6658400000000011</v>
      </c>
      <c r="D9" s="8">
        <v>2.3322099999999999E-3</v>
      </c>
      <c r="E9" s="9">
        <f t="shared" ref="E9:E11" si="1">D9*100*$B$1*$A9^3/($B$3*$B$4^4)</f>
        <v>4.6644200000000007</v>
      </c>
      <c r="F9" s="8">
        <v>2.3327399999999998E-3</v>
      </c>
      <c r="G9" s="9">
        <f t="shared" ref="G9:G11" si="2">F9*100*$B$1*$A9^3/($B$3*$B$4^4)</f>
        <v>4.6654800000000005</v>
      </c>
      <c r="H9" s="8">
        <v>2.33293E-3</v>
      </c>
      <c r="I9" s="9">
        <f t="shared" ref="I9:I11" si="3">H9*100*$B$1*$A9^3/($B$3*$B$4^4)</f>
        <v>4.6658600000000012</v>
      </c>
    </row>
    <row r="10" spans="1:9" x14ac:dyDescent="0.25">
      <c r="A10" s="5">
        <v>0.03</v>
      </c>
      <c r="B10" s="8">
        <v>8.2532999999999995E-2</v>
      </c>
      <c r="C10" s="9">
        <f t="shared" si="0"/>
        <v>4.4567819999999996</v>
      </c>
      <c r="D10" s="8">
        <v>8.2530699999999999E-2</v>
      </c>
      <c r="E10" s="9">
        <f t="shared" si="1"/>
        <v>4.4566577999999994</v>
      </c>
      <c r="F10" s="8">
        <v>8.2532499999999995E-2</v>
      </c>
      <c r="G10" s="9">
        <f t="shared" si="2"/>
        <v>4.4567550000000002</v>
      </c>
      <c r="H10" s="8">
        <v>8.2533099999999998E-2</v>
      </c>
      <c r="I10" s="9">
        <f t="shared" si="3"/>
        <v>4.4567873999999996</v>
      </c>
    </row>
    <row r="11" spans="1:9" x14ac:dyDescent="0.25">
      <c r="A11" s="5">
        <v>0.01</v>
      </c>
      <c r="B11" s="8">
        <v>2.2191999999999998</v>
      </c>
      <c r="C11" s="9">
        <f t="shared" si="0"/>
        <v>4.4384000000000006</v>
      </c>
      <c r="D11" s="8">
        <v>2.2191900000000002</v>
      </c>
      <c r="E11" s="9">
        <f t="shared" si="1"/>
        <v>4.4383800000000013</v>
      </c>
      <c r="F11" s="8">
        <v>2.2191999999999998</v>
      </c>
      <c r="G11" s="9">
        <f t="shared" si="2"/>
        <v>4.4384000000000006</v>
      </c>
      <c r="H11" s="8">
        <v>2.2191999999999998</v>
      </c>
      <c r="I11" s="9">
        <f t="shared" si="3"/>
        <v>4.4384000000000006</v>
      </c>
    </row>
  </sheetData>
  <mergeCells count="5">
    <mergeCell ref="B6:C6"/>
    <mergeCell ref="D6:E6"/>
    <mergeCell ref="F6:G6"/>
    <mergeCell ref="H6:I6"/>
    <mergeCell ref="A6:A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E62B-5659-41FB-A6CC-7CA56BA3E13E}">
  <dimension ref="A1:M16"/>
  <sheetViews>
    <sheetView tabSelected="1" zoomScale="120" zoomScaleNormal="120" workbookViewId="0">
      <selection activeCell="C18" sqref="C18"/>
    </sheetView>
  </sheetViews>
  <sheetFormatPr defaultRowHeight="15.75" x14ac:dyDescent="0.25"/>
  <cols>
    <col min="2" max="2" width="10.625" bestFit="1" customWidth="1"/>
    <col min="3" max="10" width="13.625" customWidth="1"/>
    <col min="11" max="13" width="13.125" customWidth="1"/>
  </cols>
  <sheetData>
    <row r="1" spans="1:13" x14ac:dyDescent="0.25">
      <c r="A1" t="s">
        <v>19</v>
      </c>
      <c r="B1" s="11">
        <v>70000000000</v>
      </c>
      <c r="D1" s="2"/>
      <c r="E1" s="2"/>
      <c r="F1" s="2"/>
      <c r="G1" s="10"/>
      <c r="H1" s="10"/>
      <c r="I1" s="10"/>
      <c r="J1" s="10"/>
      <c r="K1" s="10"/>
      <c r="L1" s="10"/>
      <c r="M1" s="10"/>
    </row>
    <row r="2" spans="1:13" x14ac:dyDescent="0.25">
      <c r="A2" t="s">
        <v>20</v>
      </c>
      <c r="B2" s="11">
        <v>200000000000</v>
      </c>
    </row>
    <row r="3" spans="1:13" x14ac:dyDescent="0.25">
      <c r="A3" t="s">
        <v>17</v>
      </c>
      <c r="B3">
        <v>0.3</v>
      </c>
    </row>
    <row r="4" spans="1:13" x14ac:dyDescent="0.25">
      <c r="A4" t="s">
        <v>18</v>
      </c>
      <c r="B4">
        <v>0.3</v>
      </c>
    </row>
    <row r="5" spans="1:13" x14ac:dyDescent="0.25">
      <c r="A5" t="s">
        <v>3</v>
      </c>
      <c r="B5">
        <v>1</v>
      </c>
    </row>
    <row r="6" spans="1:13" x14ac:dyDescent="0.25">
      <c r="A6" t="s">
        <v>13</v>
      </c>
      <c r="B6">
        <v>-1000</v>
      </c>
    </row>
    <row r="8" spans="1:13" x14ac:dyDescent="0.25">
      <c r="H8" s="12"/>
    </row>
    <row r="9" spans="1:13" x14ac:dyDescent="0.25">
      <c r="A9" s="27" t="s">
        <v>15</v>
      </c>
      <c r="B9" s="27" t="s">
        <v>16</v>
      </c>
      <c r="C9" s="26" t="s">
        <v>9</v>
      </c>
      <c r="D9" s="26"/>
      <c r="E9" s="26" t="s">
        <v>10</v>
      </c>
      <c r="F9" s="26"/>
      <c r="G9" s="26" t="s">
        <v>11</v>
      </c>
      <c r="H9" s="26"/>
      <c r="I9" s="26" t="s">
        <v>12</v>
      </c>
      <c r="J9" s="26"/>
      <c r="K9" s="12"/>
      <c r="L9" s="12"/>
      <c r="M9" s="12"/>
    </row>
    <row r="10" spans="1:13" x14ac:dyDescent="0.25">
      <c r="A10" s="27"/>
      <c r="B10" s="27"/>
      <c r="C10" s="7" t="s">
        <v>14</v>
      </c>
      <c r="D10" s="7" t="s">
        <v>6</v>
      </c>
      <c r="E10" s="7" t="s">
        <v>14</v>
      </c>
      <c r="F10" s="7" t="s">
        <v>6</v>
      </c>
      <c r="G10" s="7" t="s">
        <v>14</v>
      </c>
      <c r="H10" s="7" t="s">
        <v>6</v>
      </c>
      <c r="I10" s="7" t="s">
        <v>14</v>
      </c>
      <c r="J10" s="7" t="s">
        <v>6</v>
      </c>
      <c r="K10" s="12"/>
      <c r="L10" s="12"/>
      <c r="M10" s="12"/>
    </row>
    <row r="11" spans="1:13" x14ac:dyDescent="0.25">
      <c r="A11" s="28">
        <v>0.5</v>
      </c>
      <c r="B11" s="13">
        <v>0.1</v>
      </c>
      <c r="C11" s="16">
        <v>-1.2148E-7</v>
      </c>
      <c r="D11" s="14">
        <f t="shared" ref="D11:D16" si="0">100*$B$1*B11^3/(12*(1-$B$3^2)*$B$6*$B$5^4)*C11</f>
        <v>7.7871794871794894E-2</v>
      </c>
      <c r="E11" s="17">
        <v>-1.2132500000000001E-7</v>
      </c>
      <c r="F11" s="14">
        <f t="shared" ref="F11:F16" si="1">100*$B$1*B11^3/(12*(1-$B$3^2)*$B$6*$B$5^4)*E11</f>
        <v>7.7772435897435932E-2</v>
      </c>
      <c r="G11" s="17">
        <v>-1.2143E-7</v>
      </c>
      <c r="H11" s="14">
        <f t="shared" ref="H11:H16" si="2">100*$B$1*B11^3/(12*(1-$B$3^2)*$B$6*$B$5^4)*G11</f>
        <v>7.7839743589743618E-2</v>
      </c>
      <c r="I11" s="17">
        <v>-1.2129900000000001E-7</v>
      </c>
      <c r="J11" s="14">
        <f t="shared" ref="J11:J16" si="3">100*$B$1*B11^3/(12*(1-$B$3^2)*$B$6*$B$5^4)*I11</f>
        <v>7.7755769230769253E-2</v>
      </c>
      <c r="K11" s="12"/>
      <c r="L11" s="12"/>
      <c r="M11" s="12"/>
    </row>
    <row r="12" spans="1:13" x14ac:dyDescent="0.25">
      <c r="A12" s="28"/>
      <c r="B12" s="13">
        <v>0.2</v>
      </c>
      <c r="C12" s="16">
        <v>-2.1165300000000001E-8</v>
      </c>
      <c r="D12" s="14">
        <f t="shared" si="0"/>
        <v>0.10854000000000004</v>
      </c>
      <c r="E12" s="17">
        <v>-2.1041400000000001E-8</v>
      </c>
      <c r="F12" s="14">
        <f t="shared" si="1"/>
        <v>0.10790461538461543</v>
      </c>
      <c r="G12" s="17">
        <v>-2.1116600000000001E-8</v>
      </c>
      <c r="H12" s="14">
        <f t="shared" si="2"/>
        <v>0.10829025641025646</v>
      </c>
      <c r="I12" s="17">
        <v>-2.1042999999999999E-8</v>
      </c>
      <c r="J12" s="14">
        <f t="shared" si="3"/>
        <v>0.10791282051282054</v>
      </c>
      <c r="K12" s="12"/>
      <c r="L12" s="12"/>
      <c r="M12" s="12"/>
    </row>
    <row r="13" spans="1:13" x14ac:dyDescent="0.25">
      <c r="A13" s="28">
        <v>1</v>
      </c>
      <c r="B13" s="13">
        <v>0.1</v>
      </c>
      <c r="C13" s="16">
        <v>-1.4042599999999999E-7</v>
      </c>
      <c r="D13" s="14">
        <f t="shared" si="0"/>
        <v>9.0016666666666689E-2</v>
      </c>
      <c r="E13" s="17">
        <v>-1.4026599999999999E-7</v>
      </c>
      <c r="F13" s="14">
        <f t="shared" si="1"/>
        <v>8.9914102564102594E-2</v>
      </c>
      <c r="G13" s="17">
        <v>-1.4038099999999999E-7</v>
      </c>
      <c r="H13" s="14">
        <f t="shared" si="2"/>
        <v>8.9987820512820532E-2</v>
      </c>
      <c r="I13" s="17">
        <v>-1.40201E-7</v>
      </c>
      <c r="J13" s="14">
        <f t="shared" si="3"/>
        <v>8.9872435897435932E-2</v>
      </c>
      <c r="K13" s="12"/>
      <c r="L13" s="12"/>
      <c r="M13" s="12"/>
    </row>
    <row r="14" spans="1:13" x14ac:dyDescent="0.25">
      <c r="A14" s="28"/>
      <c r="B14" s="13">
        <v>0.2</v>
      </c>
      <c r="C14" s="16">
        <v>-2.4793799999999996E-8</v>
      </c>
      <c r="D14" s="14">
        <f t="shared" si="0"/>
        <v>0.12714769230769232</v>
      </c>
      <c r="E14" s="17">
        <v>-2.4558500000000001E-8</v>
      </c>
      <c r="F14" s="14">
        <f t="shared" si="1"/>
        <v>0.12594102564102569</v>
      </c>
      <c r="G14" s="17">
        <v>-2.4644100000000001E-8</v>
      </c>
      <c r="H14" s="14">
        <f t="shared" si="2"/>
        <v>0.12638000000000005</v>
      </c>
      <c r="I14" s="17">
        <v>-2.4549400000000002E-8</v>
      </c>
      <c r="J14" s="14">
        <f t="shared" si="3"/>
        <v>0.12589435897435902</v>
      </c>
      <c r="K14" s="12"/>
      <c r="L14" s="12"/>
      <c r="M14" s="12"/>
    </row>
    <row r="15" spans="1:13" x14ac:dyDescent="0.25">
      <c r="A15" s="28">
        <v>2</v>
      </c>
      <c r="B15" s="13">
        <v>0.1</v>
      </c>
      <c r="C15" s="16">
        <v>-1.5802999999999999E-7</v>
      </c>
      <c r="D15" s="14">
        <f t="shared" si="0"/>
        <v>0.10130128205128208</v>
      </c>
      <c r="E15" s="17">
        <v>-1.5790300000000001E-7</v>
      </c>
      <c r="F15" s="14">
        <f t="shared" si="1"/>
        <v>0.10121987179487184</v>
      </c>
      <c r="G15" s="17">
        <v>-1.5801E-7</v>
      </c>
      <c r="H15" s="14">
        <f t="shared" si="2"/>
        <v>0.10128846153846156</v>
      </c>
      <c r="I15" s="17">
        <v>-1.5774200000000001E-7</v>
      </c>
      <c r="J15" s="14">
        <f t="shared" si="3"/>
        <v>0.1011166666666667</v>
      </c>
    </row>
    <row r="16" spans="1:13" x14ac:dyDescent="0.25">
      <c r="A16" s="28"/>
      <c r="B16" s="13">
        <v>0.2</v>
      </c>
      <c r="C16" s="16">
        <v>-2.8443500000000003E-8</v>
      </c>
      <c r="D16" s="14">
        <f t="shared" si="0"/>
        <v>0.14586410256410262</v>
      </c>
      <c r="E16" s="17">
        <v>-2.8302999999999999E-8</v>
      </c>
      <c r="F16" s="14">
        <f t="shared" si="1"/>
        <v>0.14514358974358979</v>
      </c>
      <c r="G16" s="17">
        <v>-2.83942E-8</v>
      </c>
      <c r="H16" s="14">
        <f t="shared" si="2"/>
        <v>0.1456112820512821</v>
      </c>
      <c r="I16" s="17">
        <v>-2.8261600000000003E-8</v>
      </c>
      <c r="J16" s="14">
        <f t="shared" si="3"/>
        <v>0.14493128205128211</v>
      </c>
    </row>
  </sheetData>
  <mergeCells count="9">
    <mergeCell ref="A15:A16"/>
    <mergeCell ref="C9:D9"/>
    <mergeCell ref="E9:F9"/>
    <mergeCell ref="G9:H9"/>
    <mergeCell ref="I9:J9"/>
    <mergeCell ref="B9:B10"/>
    <mergeCell ref="A11:A12"/>
    <mergeCell ref="A9:A10"/>
    <mergeCell ref="A13:A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D270-0B2A-4A73-8760-DFF1D262764B}">
  <dimension ref="A1:J62"/>
  <sheetViews>
    <sheetView topLeftCell="A7" zoomScale="120" zoomScaleNormal="120" workbookViewId="0">
      <selection activeCell="D17" sqref="D17"/>
    </sheetView>
  </sheetViews>
  <sheetFormatPr defaultRowHeight="15.75" x14ac:dyDescent="0.25"/>
  <cols>
    <col min="2" max="2" width="10.625" bestFit="1" customWidth="1"/>
    <col min="3" max="10" width="12" customWidth="1"/>
  </cols>
  <sheetData>
    <row r="1" spans="1:10" x14ac:dyDescent="0.25">
      <c r="A1" t="s">
        <v>13</v>
      </c>
      <c r="B1">
        <v>-1000000</v>
      </c>
      <c r="D1" s="10"/>
      <c r="E1" s="10"/>
      <c r="F1" s="10"/>
      <c r="G1" s="10"/>
      <c r="H1" s="10"/>
      <c r="I1" s="10"/>
      <c r="J1" s="10"/>
    </row>
    <row r="2" spans="1:10" x14ac:dyDescent="0.25">
      <c r="A2" t="s">
        <v>17</v>
      </c>
      <c r="B2">
        <v>0.28799999999999998</v>
      </c>
      <c r="D2" s="10"/>
      <c r="E2" s="10"/>
      <c r="F2" s="10"/>
      <c r="G2" s="10"/>
      <c r="H2" s="10"/>
      <c r="I2" s="10"/>
      <c r="J2" s="10"/>
    </row>
    <row r="3" spans="1:10" x14ac:dyDescent="0.25">
      <c r="A3" t="s">
        <v>18</v>
      </c>
      <c r="B3">
        <v>0.28799999999999998</v>
      </c>
    </row>
    <row r="4" spans="1:10" x14ac:dyDescent="0.25">
      <c r="A4" t="s">
        <v>19</v>
      </c>
      <c r="B4" s="11">
        <v>110250000000</v>
      </c>
    </row>
    <row r="5" spans="1:10" x14ac:dyDescent="0.25">
      <c r="A5" t="s">
        <v>20</v>
      </c>
      <c r="B5" s="11">
        <v>278410000000</v>
      </c>
    </row>
    <row r="6" spans="1:10" x14ac:dyDescent="0.25">
      <c r="A6" t="s">
        <v>22</v>
      </c>
      <c r="B6">
        <v>1</v>
      </c>
    </row>
    <row r="9" spans="1:10" x14ac:dyDescent="0.25">
      <c r="A9" s="27" t="s">
        <v>21</v>
      </c>
      <c r="B9" s="27" t="s">
        <v>15</v>
      </c>
      <c r="C9" s="26" t="s">
        <v>9</v>
      </c>
      <c r="D9" s="26"/>
      <c r="E9" s="26" t="s">
        <v>10</v>
      </c>
      <c r="F9" s="26"/>
      <c r="G9" s="26" t="s">
        <v>11</v>
      </c>
      <c r="H9" s="26"/>
      <c r="I9" s="26" t="s">
        <v>12</v>
      </c>
      <c r="J9" s="26"/>
    </row>
    <row r="10" spans="1:10" x14ac:dyDescent="0.25">
      <c r="A10" s="27"/>
      <c r="B10" s="27"/>
      <c r="C10" s="15" t="s">
        <v>14</v>
      </c>
      <c r="D10" s="15" t="s">
        <v>6</v>
      </c>
      <c r="E10" s="15" t="s">
        <v>14</v>
      </c>
      <c r="F10" s="15" t="s">
        <v>6</v>
      </c>
      <c r="G10" s="15" t="s">
        <v>14</v>
      </c>
      <c r="H10" s="15" t="s">
        <v>6</v>
      </c>
      <c r="I10" s="15" t="s">
        <v>14</v>
      </c>
      <c r="J10" s="15" t="s">
        <v>6</v>
      </c>
    </row>
    <row r="11" spans="1:10" x14ac:dyDescent="0.25">
      <c r="A11" s="28">
        <v>0.05</v>
      </c>
      <c r="B11" s="13">
        <v>0</v>
      </c>
      <c r="C11" s="16">
        <v>-5.1365999999999995E-2</v>
      </c>
      <c r="D11" s="19">
        <f>C11*64*$B$5*$A$11^3/(12*(1-$B$3^2))/($B$1*$B$6^4)</f>
        <v>10.396172142159259</v>
      </c>
      <c r="E11" s="16">
        <v>-5.1365099999999997E-2</v>
      </c>
      <c r="F11" s="19">
        <f>E11*64*$B$5*$A$11^3/(12*(1-$B$3^2))/($B$1*$B$6^4)</f>
        <v>10.395989987525301</v>
      </c>
      <c r="G11" s="16">
        <v>-5.1365800000000003E-2</v>
      </c>
      <c r="H11" s="19">
        <f>G11*64*$B$5*$A$11^3/(12*(1-$B$3^2))/($B$1*$B$6^4)</f>
        <v>10.396131663351715</v>
      </c>
      <c r="I11" s="16">
        <v>-5.1365599999999997E-2</v>
      </c>
      <c r="J11" s="19">
        <f>I11*64*$B$5*$A$11^3/(12*(1-$B$3^2))/($B$1*$B$6^4)</f>
        <v>10.396091184544169</v>
      </c>
    </row>
    <row r="12" spans="1:10" x14ac:dyDescent="0.25">
      <c r="A12" s="28"/>
      <c r="B12" s="13">
        <v>2</v>
      </c>
      <c r="C12" s="16">
        <v>-2.8228900000000005E-2</v>
      </c>
      <c r="D12" s="19">
        <f>C12*64*$B$5*$A$11^3/(12*(1-$B$3^2))/($B$1*$B$6^4)</f>
        <v>5.7133610517423898</v>
      </c>
      <c r="E12" s="16">
        <v>-2.8228399999999997E-2</v>
      </c>
      <c r="F12" s="19">
        <f>E12*64*$B$5*$A$11^3/(12*(1-$B$3^2))/($B$1*$B$6^4)</f>
        <v>5.7132598547235212</v>
      </c>
      <c r="G12" s="16">
        <v>-2.8228700000000002E-2</v>
      </c>
      <c r="H12" s="19">
        <f>G12*64*$B$5*$A$11^3/(12*(1-$B$3^2))/($B$1*$B$6^4)</f>
        <v>5.7133205729348431</v>
      </c>
      <c r="I12" s="16">
        <v>-2.8228700000000002E-2</v>
      </c>
      <c r="J12" s="19">
        <f>I12*64*$B$5*$A$11^3/(12*(1-$B$3^2))/($B$1*$B$6^4)</f>
        <v>5.7133205729348431</v>
      </c>
    </row>
    <row r="13" spans="1:10" x14ac:dyDescent="0.25">
      <c r="A13" s="28"/>
      <c r="B13" s="13">
        <v>4</v>
      </c>
      <c r="C13" s="16">
        <v>-2.5802499999999996E-2</v>
      </c>
      <c r="D13" s="19">
        <f>C13*64*$B$5*$A$11^3/(12*(1-$B$3^2))/($B$1*$B$6^4)</f>
        <v>5.2222721585886438</v>
      </c>
      <c r="E13" s="16">
        <v>-2.5801999999999995E-2</v>
      </c>
      <c r="F13" s="19">
        <f>E13*64*$B$5*$A$11^3/(12*(1-$B$3^2))/($B$1*$B$6^4)</f>
        <v>5.2221709615697778</v>
      </c>
      <c r="G13" s="16">
        <v>-2.58024E-2</v>
      </c>
      <c r="H13" s="19">
        <f>G13*64*$B$5*$A$11^3/(12*(1-$B$3^2))/($B$1*$B$6^4)</f>
        <v>5.2222519191848713</v>
      </c>
      <c r="I13" s="16">
        <v>-2.5802299999999997E-2</v>
      </c>
      <c r="J13" s="19">
        <f>I13*64*$B$5*$A$11^3/(12*(1-$B$3^2))/($B$1*$B$6^4)</f>
        <v>5.222231679781097</v>
      </c>
    </row>
    <row r="14" spans="1:10" x14ac:dyDescent="0.25">
      <c r="A14" s="28"/>
      <c r="B14" s="13">
        <v>10</v>
      </c>
      <c r="C14" s="16">
        <v>-2.3238399999999999E-2</v>
      </c>
      <c r="D14" s="19">
        <f>C14*64*$B$5*$A$11^3/(12*(1-$B$3^2))/($B$1*$B$6^4)</f>
        <v>4.7033136064391572</v>
      </c>
      <c r="E14" s="16">
        <v>-2.3238100000000001E-2</v>
      </c>
      <c r="F14" s="19">
        <f>E14*64*$B$5*$A$11^3/(12*(1-$B$3^2))/($B$1*$B$6^4)</f>
        <v>4.7032528882278379</v>
      </c>
      <c r="G14" s="16">
        <v>-2.3238399999999999E-2</v>
      </c>
      <c r="H14" s="19">
        <f>G14*64*$B$5*$A$11^3/(12*(1-$B$3^2))/($B$1*$B$6^4)</f>
        <v>4.7033136064391572</v>
      </c>
      <c r="I14" s="16">
        <v>-2.3238200000000001E-2</v>
      </c>
      <c r="J14" s="19">
        <f>I14*64*$B$5*$A$11^3/(12*(1-$B$3^2))/($B$1*$B$6^4)</f>
        <v>4.7032731276316113</v>
      </c>
    </row>
    <row r="15" spans="1:10" x14ac:dyDescent="0.25">
      <c r="A15" s="28"/>
      <c r="B15" s="13">
        <v>10000</v>
      </c>
      <c r="C15" s="16">
        <v>-2.0340899999999999E-2</v>
      </c>
      <c r="D15" s="19">
        <f>C15*64*$B$5*$A$11^3/(12*(1-$B$3^2))/($B$1*$B$6^4)</f>
        <v>4.1168768821097093</v>
      </c>
      <c r="E15" s="16">
        <v>-2.0340500000000004E-2</v>
      </c>
      <c r="F15" s="19">
        <f>E15*64*$B$5*$A$11^3/(12*(1-$B$3^2))/($B$1*$B$6^4)</f>
        <v>4.1167959244946166</v>
      </c>
      <c r="G15" s="16">
        <v>-2.0340799999999999E-2</v>
      </c>
      <c r="H15" s="19">
        <f>G15*64*$B$5*$A$11^3/(12*(1-$B$3^2))/($B$1*$B$6^4)</f>
        <v>4.1168566427059359</v>
      </c>
      <c r="I15" s="16">
        <v>-2.03407E-2</v>
      </c>
      <c r="J15" s="19">
        <f>I15*64*$B$5*$A$11^3/(12*(1-$B$3^2))/($B$1*$B$6^4)</f>
        <v>4.1168364033021625</v>
      </c>
    </row>
    <row r="16" spans="1:10" x14ac:dyDescent="0.25">
      <c r="A16" s="28">
        <v>0.1</v>
      </c>
      <c r="B16" s="13">
        <v>0</v>
      </c>
      <c r="C16" s="16">
        <v>-6.4733300000000002E-3</v>
      </c>
      <c r="D16" s="19">
        <f>C16*64*$B$5*$A$16^3/(12*(1-$B$3^2))/($B$1*$B$6^4)</f>
        <v>10.481307170190989</v>
      </c>
      <c r="E16" s="16">
        <v>-6.4729099999999993E-3</v>
      </c>
      <c r="F16" s="19">
        <f>E16*64*$B$5*$A$16^3/(12*(1-$B$3^2))/($B$1*$B$6^4)</f>
        <v>10.48062712622421</v>
      </c>
      <c r="G16" s="16">
        <v>-6.47323E-3</v>
      </c>
      <c r="H16" s="19">
        <f>G16*64*$B$5*$A$16^3/(12*(1-$B$3^2))/($B$1*$B$6^4)</f>
        <v>10.481145254960806</v>
      </c>
      <c r="I16" s="16">
        <v>-6.4732599999999998E-3</v>
      </c>
      <c r="J16" s="19">
        <f>I16*64*$B$5*$A$16^3/(12*(1-$B$3^2))/($B$1*$B$6^4)</f>
        <v>10.481193829529859</v>
      </c>
    </row>
    <row r="17" spans="1:10" x14ac:dyDescent="0.25">
      <c r="A17" s="28"/>
      <c r="B17" s="13">
        <v>2</v>
      </c>
      <c r="C17" s="16">
        <v>-3.5540900000000002E-3</v>
      </c>
      <c r="D17" s="19">
        <f>C17*64*$B$5*$A$16^3/(12*(1-$B$3^2))/($B$1*$B$6^4)</f>
        <v>5.7546130045129944</v>
      </c>
      <c r="E17" s="16">
        <v>-3.5538199999999996E-3</v>
      </c>
      <c r="F17" s="19">
        <f>E17*64*$B$5*$A$16^3/(12*(1-$B$3^2))/($B$1*$B$6^4)</f>
        <v>5.7541758333914919</v>
      </c>
      <c r="G17" s="16">
        <v>-3.5539999999999999E-3</v>
      </c>
      <c r="H17" s="19">
        <f>G17*64*$B$5*$A$16^3/(12*(1-$B$3^2))/($B$1*$B$6^4)</f>
        <v>5.7544672808058275</v>
      </c>
      <c r="I17" s="16">
        <v>-3.5540499999999996E-3</v>
      </c>
      <c r="J17" s="19">
        <f>I17*64*$B$5*$A$16^3/(12*(1-$B$3^2))/($B$1*$B$6^4)</f>
        <v>5.7545482384209192</v>
      </c>
    </row>
    <row r="18" spans="1:10" x14ac:dyDescent="0.25">
      <c r="A18" s="28"/>
      <c r="B18" s="13">
        <v>4</v>
      </c>
      <c r="C18" s="16">
        <v>-3.24822E-3</v>
      </c>
      <c r="D18" s="19">
        <f>C18*64*$B$5*$A$16^3/(12*(1-$B$3^2))/($B$1*$B$6^4)</f>
        <v>5.259362889943473</v>
      </c>
      <c r="E18" s="16">
        <v>-3.2479799999999997E-3</v>
      </c>
      <c r="F18" s="19">
        <f>E18*64*$B$5*$A$16^3/(12*(1-$B$3^2))/($B$1*$B$6^4)</f>
        <v>5.2589742933910264</v>
      </c>
      <c r="G18" s="16">
        <v>-3.2481399999999996E-3</v>
      </c>
      <c r="H18" s="19">
        <f>G18*64*$B$5*$A$16^3/(12*(1-$B$3^2))/($B$1*$B$6^4)</f>
        <v>5.2592333577593227</v>
      </c>
      <c r="I18" s="16">
        <v>-3.2481799999999994E-3</v>
      </c>
      <c r="J18" s="19">
        <f>I18*64*$B$5*$A$16^3/(12*(1-$B$3^2))/($B$1*$B$6^4)</f>
        <v>5.2592981238513978</v>
      </c>
    </row>
    <row r="19" spans="1:10" x14ac:dyDescent="0.25">
      <c r="A19" s="28"/>
      <c r="B19" s="13">
        <v>10</v>
      </c>
      <c r="C19" s="16">
        <v>-2.9263799999999997E-3</v>
      </c>
      <c r="D19" s="19">
        <f>C19*64*$B$5*$A$16^3/(12*(1-$B$3^2))/($B$1*$B$6^4)</f>
        <v>4.7382549131132681</v>
      </c>
      <c r="E19" s="16">
        <v>-2.9262400000000001E-3</v>
      </c>
      <c r="F19" s="19">
        <f>E19*64*$B$5*$A$16^3/(12*(1-$B$3^2))/($B$1*$B$6^4)</f>
        <v>4.7380282317910076</v>
      </c>
      <c r="G19" s="16">
        <v>-2.92567E-3</v>
      </c>
      <c r="H19" s="19">
        <f>G19*64*$B$5*$A$16^3/(12*(1-$B$3^2))/($B$1*$B$6^4)</f>
        <v>4.7371053149789484</v>
      </c>
      <c r="I19" s="16">
        <v>-2.9263399999999999E-3</v>
      </c>
      <c r="J19" s="19">
        <f>I19*64*$B$5*$A$16^3/(12*(1-$B$3^2))/($B$1*$B$6^4)</f>
        <v>4.7381901470211938</v>
      </c>
    </row>
    <row r="20" spans="1:10" x14ac:dyDescent="0.25">
      <c r="A20" s="28"/>
      <c r="B20" s="13">
        <v>10000</v>
      </c>
      <c r="C20" s="16">
        <v>-2.5634299999999998E-3</v>
      </c>
      <c r="D20" s="19">
        <f>C20*64*$B$5*$A$16^3/(12*(1-$B$3^2))/($B$1*$B$6^4)</f>
        <v>4.1505835851536528</v>
      </c>
      <c r="E20" s="16">
        <v>-2.5632599999999999E-3</v>
      </c>
      <c r="F20" s="19">
        <f>E20*64*$B$5*$A$16^3/(12*(1-$B$3^2))/($B$1*$B$6^4)</f>
        <v>4.1503083292623364</v>
      </c>
      <c r="G20" s="16">
        <v>-2.56339E-3</v>
      </c>
      <c r="H20" s="19">
        <f>G20*64*$B$5*$A$16^3/(12*(1-$B$3^2))/($B$1*$B$6^4)</f>
        <v>4.1505188190615785</v>
      </c>
      <c r="I20" s="16">
        <v>-2.5634E-3</v>
      </c>
      <c r="J20" s="19">
        <f>I20*64*$B$5*$A$16^3/(12*(1-$B$3^2))/($B$1*$B$6^4)</f>
        <v>4.1505350105845968</v>
      </c>
    </row>
    <row r="21" spans="1:10" x14ac:dyDescent="0.25">
      <c r="A21" s="28">
        <v>0.3</v>
      </c>
      <c r="B21" s="13">
        <v>0</v>
      </c>
      <c r="C21" s="16">
        <v>-2.6050400000000005E-4</v>
      </c>
      <c r="D21" s="19">
        <f>C21*64*$B$5*$A$21^3/(12*(1-$B$3^2))/($B$1*$B$6^4)</f>
        <v>11.388482583571781</v>
      </c>
      <c r="E21" s="16">
        <v>-2.60356E-4</v>
      </c>
      <c r="F21" s="19">
        <f>E21*64*$B$5*$A$21^3/(12*(1-$B$3^2))/($B$1*$B$6^4)</f>
        <v>11.38201245097355</v>
      </c>
      <c r="G21" s="16">
        <v>-2.60466E-4</v>
      </c>
      <c r="H21" s="19">
        <f>G21*64*$B$5*$A$21^3/(12*(1-$B$3^2))/($B$1*$B$6^4)</f>
        <v>11.386821333310071</v>
      </c>
      <c r="I21" s="16">
        <v>-2.6050100000000001E-4</v>
      </c>
      <c r="J21" s="19">
        <f>I21*64*$B$5*$A$21^3/(12*(1-$B$3^2))/($B$1*$B$6^4)</f>
        <v>11.388351432235327</v>
      </c>
    </row>
    <row r="22" spans="1:10" x14ac:dyDescent="0.25">
      <c r="A22" s="28"/>
      <c r="B22" s="13">
        <v>2</v>
      </c>
      <c r="C22" s="16">
        <v>-1.4168399999999999E-4</v>
      </c>
      <c r="D22" s="19">
        <f>C22*64*$B$5*$A$21^3/(12*(1-$B$3^2))/($B$1*$B$6^4)</f>
        <v>6.1940153178868025</v>
      </c>
      <c r="E22" s="16">
        <v>-1.41593E-4</v>
      </c>
      <c r="F22" s="19">
        <f>E22*64*$B$5*$A$21^3/(12*(1-$B$3^2))/($B$1*$B$6^4)</f>
        <v>6.1900370606811359</v>
      </c>
      <c r="G22" s="16">
        <v>-1.4165599999999999E-4</v>
      </c>
      <c r="H22" s="19">
        <f>G22*64*$B$5*$A$21^3/(12*(1-$B$3^2))/($B$1*$B$6^4)</f>
        <v>6.1927912387465973</v>
      </c>
      <c r="I22" s="16">
        <v>-1.4168300000000001E-4</v>
      </c>
      <c r="J22" s="19">
        <f>I22*64*$B$5*$A$21^3/(12*(1-$B$3^2))/($B$1*$B$6^4)</f>
        <v>6.1939716007746535</v>
      </c>
    </row>
    <row r="23" spans="1:10" x14ac:dyDescent="0.25">
      <c r="A23" s="28"/>
      <c r="B23" s="13">
        <v>4</v>
      </c>
      <c r="C23" s="16">
        <v>-1.2934200000000001E-4</v>
      </c>
      <c r="D23" s="19">
        <f>C23*64*$B$5*$A$21^3/(12*(1-$B$3^2))/($B$1*$B$6^4)</f>
        <v>5.6544587197292211</v>
      </c>
      <c r="E23" s="16">
        <v>-1.2925799999999999E-4</v>
      </c>
      <c r="F23" s="19">
        <f>E23*64*$B$5*$A$21^3/(12*(1-$B$3^2))/($B$1*$B$6^4)</f>
        <v>5.6507864823086038</v>
      </c>
      <c r="G23" s="16">
        <v>-1.2931499999999999E-4</v>
      </c>
      <c r="H23" s="19">
        <f>G23*64*$B$5*$A$21^3/(12*(1-$B$3^2))/($B$1*$B$6^4)</f>
        <v>5.6532783577011658</v>
      </c>
      <c r="I23" s="16">
        <v>-1.2934099999999999E-4</v>
      </c>
      <c r="J23" s="19">
        <f>I23*64*$B$5*$A$21^3/(12*(1-$B$3^2))/($B$1*$B$6^4)</f>
        <v>5.6544150026170694</v>
      </c>
    </row>
    <row r="24" spans="1:10" x14ac:dyDescent="0.25">
      <c r="A24" s="28"/>
      <c r="B24" s="13">
        <v>10</v>
      </c>
      <c r="C24" s="16">
        <v>-1.1689800000000003E-4</v>
      </c>
      <c r="D24" s="19">
        <f>C24*64*$B$5*$A$21^3/(12*(1-$B$3^2))/($B$1*$B$6^4)</f>
        <v>5.1104429761323216</v>
      </c>
      <c r="E24" s="16">
        <v>-1.1684800000000002E-4</v>
      </c>
      <c r="F24" s="19">
        <f>E24*64*$B$5*$A$21^3/(12*(1-$B$3^2))/($B$1*$B$6^4)</f>
        <v>5.1082571205248106</v>
      </c>
      <c r="G24" s="16">
        <v>-1.1688700000000001E-4</v>
      </c>
      <c r="H24" s="19">
        <f>G24*64*$B$5*$A$21^3/(12*(1-$B$3^2))/($B$1*$B$6^4)</f>
        <v>5.1099620878986682</v>
      </c>
      <c r="I24" s="16">
        <v>-1.16896E-4</v>
      </c>
      <c r="J24" s="19">
        <f>I24*64*$B$5*$A$21^3/(12*(1-$B$3^2))/($B$1*$B$6^4)</f>
        <v>5.1103555419080191</v>
      </c>
    </row>
    <row r="25" spans="1:10" x14ac:dyDescent="0.25">
      <c r="A25" s="28"/>
      <c r="B25" s="13">
        <v>10000</v>
      </c>
      <c r="C25" s="16">
        <v>-1.0315900000000001E-4</v>
      </c>
      <c r="D25" s="19">
        <f>C25*64*$B$5*$A$21^3/(12*(1-$B$3^2))/($B$1*$B$6^4)</f>
        <v>4.5098135723009287</v>
      </c>
      <c r="E25" s="16">
        <v>-1.03101E-4</v>
      </c>
      <c r="F25" s="19">
        <f>E25*64*$B$5*$A$21^3/(12*(1-$B$3^2))/($B$1*$B$6^4)</f>
        <v>4.5072779797962177</v>
      </c>
      <c r="G25" s="16">
        <v>-1.03144E-4</v>
      </c>
      <c r="H25" s="19">
        <f>G25*64*$B$5*$A$21^3/(12*(1-$B$3^2))/($B$1*$B$6^4)</f>
        <v>4.5091578156186749</v>
      </c>
      <c r="I25" s="16">
        <v>-1.0315800000000002E-4</v>
      </c>
      <c r="J25" s="19">
        <f>I25*64*$B$5*$A$21^3/(12*(1-$B$3^2))/($B$1*$B$6^4)</f>
        <v>4.5097698551887788</v>
      </c>
    </row>
    <row r="27" spans="1:10" x14ac:dyDescent="0.25">
      <c r="D27" s="12"/>
      <c r="F27" s="12"/>
      <c r="H27" s="12"/>
      <c r="J27" s="12"/>
    </row>
    <row r="28" spans="1:10" x14ac:dyDescent="0.25">
      <c r="D28" s="12"/>
      <c r="F28" s="12"/>
      <c r="H28" s="12"/>
      <c r="J28" s="12"/>
    </row>
    <row r="29" spans="1:10" x14ac:dyDescent="0.25">
      <c r="D29" s="12"/>
      <c r="F29" s="12"/>
      <c r="H29" s="12"/>
      <c r="J29" s="12"/>
    </row>
    <row r="30" spans="1:10" x14ac:dyDescent="0.25">
      <c r="D30" s="12"/>
      <c r="F30" s="12"/>
      <c r="H30" s="12"/>
      <c r="J30" s="12"/>
    </row>
    <row r="31" spans="1:10" x14ac:dyDescent="0.25">
      <c r="D31" s="12"/>
      <c r="F31" s="12"/>
      <c r="H31" s="12"/>
      <c r="J31" s="12"/>
    </row>
    <row r="32" spans="1:10" x14ac:dyDescent="0.25">
      <c r="D32" s="12"/>
      <c r="F32" s="12"/>
      <c r="H32" s="12"/>
      <c r="J32" s="12"/>
    </row>
    <row r="33" spans="3:10" x14ac:dyDescent="0.25">
      <c r="D33" s="12"/>
      <c r="F33" s="12"/>
      <c r="H33" s="12"/>
      <c r="J33" s="12"/>
    </row>
    <row r="34" spans="3:10" x14ac:dyDescent="0.25">
      <c r="D34" s="12"/>
      <c r="F34" s="12"/>
      <c r="H34" s="12"/>
      <c r="J34" s="12"/>
    </row>
    <row r="35" spans="3:10" x14ac:dyDescent="0.25">
      <c r="D35" s="12"/>
      <c r="F35" s="12"/>
      <c r="H35" s="12"/>
      <c r="J35" s="12"/>
    </row>
    <row r="36" spans="3:10" x14ac:dyDescent="0.25">
      <c r="D36" s="12"/>
      <c r="F36" s="12"/>
      <c r="H36" s="12"/>
      <c r="J36" s="12"/>
    </row>
    <row r="37" spans="3:10" x14ac:dyDescent="0.25">
      <c r="D37" s="12"/>
      <c r="F37" s="12"/>
      <c r="H37" s="12"/>
      <c r="J37" s="12"/>
    </row>
    <row r="38" spans="3:10" x14ac:dyDescent="0.25">
      <c r="D38" s="12"/>
      <c r="F38" s="12"/>
      <c r="H38" s="12"/>
      <c r="J38" s="12"/>
    </row>
    <row r="39" spans="3:10" x14ac:dyDescent="0.25">
      <c r="C39" s="12"/>
      <c r="D39" s="12"/>
      <c r="F39" s="12"/>
      <c r="H39" s="12"/>
      <c r="J39" s="12"/>
    </row>
    <row r="40" spans="3:10" x14ac:dyDescent="0.25">
      <c r="D40" s="12"/>
      <c r="F40" s="12"/>
      <c r="H40" s="12"/>
      <c r="J40" s="12"/>
    </row>
    <row r="41" spans="3:10" x14ac:dyDescent="0.25">
      <c r="D41" s="12"/>
      <c r="F41" s="12"/>
      <c r="H41" s="12"/>
      <c r="J41" s="12"/>
    </row>
    <row r="42" spans="3:10" x14ac:dyDescent="0.25">
      <c r="D42" s="12"/>
    </row>
    <row r="43" spans="3:10" x14ac:dyDescent="0.25">
      <c r="D43" s="12"/>
    </row>
    <row r="44" spans="3:10" x14ac:dyDescent="0.25">
      <c r="D44" s="12"/>
    </row>
    <row r="45" spans="3:10" x14ac:dyDescent="0.25">
      <c r="D45" s="12"/>
    </row>
    <row r="46" spans="3:10" x14ac:dyDescent="0.25">
      <c r="D46" s="12"/>
    </row>
    <row r="47" spans="3:10" x14ac:dyDescent="0.25">
      <c r="D47" s="12"/>
    </row>
    <row r="48" spans="3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9">
    <mergeCell ref="I9:J9"/>
    <mergeCell ref="A21:A25"/>
    <mergeCell ref="A9:A10"/>
    <mergeCell ref="B9:B10"/>
    <mergeCell ref="E9:F9"/>
    <mergeCell ref="C9:D9"/>
    <mergeCell ref="G9:H9"/>
    <mergeCell ref="A11:A15"/>
    <mergeCell ref="A16:A2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58E7-37F2-7C43-BD94-B9ACC0CC8237}">
  <dimension ref="A1:I13"/>
  <sheetViews>
    <sheetView zoomScale="120" zoomScaleNormal="120" workbookViewId="0">
      <selection activeCell="E12" sqref="E12"/>
    </sheetView>
  </sheetViews>
  <sheetFormatPr defaultColWidth="11" defaultRowHeight="15.75" x14ac:dyDescent="0.25"/>
  <sheetData>
    <row r="1" spans="1:9" x14ac:dyDescent="0.25">
      <c r="A1" t="s">
        <v>0</v>
      </c>
      <c r="B1" s="1">
        <v>200000000000</v>
      </c>
    </row>
    <row r="2" spans="1:9" x14ac:dyDescent="0.25">
      <c r="A2" t="s">
        <v>1</v>
      </c>
      <c r="B2" s="2">
        <v>0.3</v>
      </c>
    </row>
    <row r="3" spans="1:9" x14ac:dyDescent="0.25">
      <c r="A3" t="s">
        <v>5</v>
      </c>
      <c r="B3" s="3">
        <v>8000</v>
      </c>
    </row>
    <row r="4" spans="1:9" x14ac:dyDescent="0.25">
      <c r="A4" t="s">
        <v>3</v>
      </c>
      <c r="B4" s="3">
        <v>10</v>
      </c>
    </row>
    <row r="5" spans="1:9" x14ac:dyDescent="0.25">
      <c r="A5" t="s">
        <v>2</v>
      </c>
      <c r="B5" s="2">
        <v>0.05</v>
      </c>
    </row>
    <row r="6" spans="1:9" x14ac:dyDescent="0.25">
      <c r="A6" t="s">
        <v>8</v>
      </c>
      <c r="B6" s="4">
        <f>12*B3*B4^4*(1 - B2^2)/(B1*B5^2)</f>
        <v>1.7471999999999996</v>
      </c>
    </row>
    <row r="8" spans="1:9" x14ac:dyDescent="0.25">
      <c r="A8" s="24" t="s">
        <v>7</v>
      </c>
      <c r="B8" s="23" t="s">
        <v>9</v>
      </c>
      <c r="C8" s="23"/>
      <c r="D8" s="23" t="s">
        <v>10</v>
      </c>
      <c r="E8" s="23"/>
      <c r="F8" s="23" t="s">
        <v>11</v>
      </c>
      <c r="G8" s="23"/>
      <c r="H8" s="23" t="s">
        <v>12</v>
      </c>
      <c r="I8" s="23"/>
    </row>
    <row r="9" spans="1:9" x14ac:dyDescent="0.25">
      <c r="A9" s="25"/>
      <c r="B9" s="7" t="s">
        <v>4</v>
      </c>
      <c r="C9" s="7" t="s">
        <v>6</v>
      </c>
      <c r="D9" s="7" t="s">
        <v>4</v>
      </c>
      <c r="E9" s="7" t="s">
        <v>6</v>
      </c>
      <c r="F9" s="7" t="s">
        <v>4</v>
      </c>
      <c r="G9" s="7" t="s">
        <v>6</v>
      </c>
      <c r="H9" s="7" t="s">
        <v>4</v>
      </c>
      <c r="I9" s="7" t="s">
        <v>6</v>
      </c>
    </row>
    <row r="10" spans="1:9" x14ac:dyDescent="0.25">
      <c r="A10" s="5">
        <v>1</v>
      </c>
      <c r="B10" s="6">
        <v>27.219000000000001</v>
      </c>
      <c r="C10" s="6">
        <f>(B10^2*$B$6)^(1/4)</f>
        <v>5.9982109878178926</v>
      </c>
      <c r="D10" s="6">
        <v>27.218</v>
      </c>
      <c r="E10" s="6">
        <f>(D10^2*$B$6)^(1/4)</f>
        <v>5.9981008025414129</v>
      </c>
      <c r="F10" s="6">
        <v>27.218</v>
      </c>
      <c r="G10" s="6">
        <f>(F10^2*$B$6)^(1/4)</f>
        <v>5.9981008025414129</v>
      </c>
      <c r="H10" s="6">
        <v>27.216999999999999</v>
      </c>
      <c r="I10" s="6">
        <f>(H10^2*$B$6)^(1/4)</f>
        <v>5.9979906152407905</v>
      </c>
    </row>
    <row r="11" spans="1:9" x14ac:dyDescent="0.25">
      <c r="A11" s="5">
        <v>2</v>
      </c>
      <c r="B11" s="6">
        <v>55.515999999999998</v>
      </c>
      <c r="C11" s="6">
        <f t="shared" ref="C11:E13" si="0">(B11^2*$B$6)^(1/4)</f>
        <v>8.5663287796320571</v>
      </c>
      <c r="D11" s="6">
        <v>55.514000000000003</v>
      </c>
      <c r="E11" s="6">
        <f t="shared" si="0"/>
        <v>8.5661744744599826</v>
      </c>
      <c r="F11" s="6">
        <v>55.515000000000001</v>
      </c>
      <c r="G11" s="6">
        <f t="shared" ref="G11" si="1">(F11^2*$B$6)^(1/4)</f>
        <v>8.5662516273934592</v>
      </c>
      <c r="H11" s="6">
        <v>55.5</v>
      </c>
      <c r="I11" s="6">
        <f t="shared" ref="I11" si="2">(H11^2*$B$6)^(1/4)</f>
        <v>8.5650942604183218</v>
      </c>
    </row>
    <row r="12" spans="1:9" x14ac:dyDescent="0.25">
      <c r="A12" s="5">
        <v>3</v>
      </c>
      <c r="B12" s="6">
        <v>55.515999999999998</v>
      </c>
      <c r="C12" s="6">
        <f t="shared" si="0"/>
        <v>8.5663287796320571</v>
      </c>
      <c r="D12" s="6">
        <v>55.514000000000003</v>
      </c>
      <c r="E12" s="6">
        <f t="shared" si="0"/>
        <v>8.5661744744599826</v>
      </c>
      <c r="F12" s="6">
        <v>55.515000000000001</v>
      </c>
      <c r="G12" s="6">
        <f t="shared" ref="G12" si="3">(F12^2*$B$6)^(1/4)</f>
        <v>8.5662516273934592</v>
      </c>
      <c r="H12" s="6">
        <v>55.5</v>
      </c>
      <c r="I12" s="6">
        <f t="shared" ref="I12" si="4">(H12^2*$B$6)^(1/4)</f>
        <v>8.5650942604183218</v>
      </c>
    </row>
    <row r="13" spans="1:9" x14ac:dyDescent="0.25">
      <c r="A13" s="5">
        <v>4</v>
      </c>
      <c r="B13" s="6">
        <v>81.847999999999999</v>
      </c>
      <c r="C13" s="6">
        <f t="shared" si="0"/>
        <v>10.401349537296856</v>
      </c>
      <c r="D13" s="6">
        <v>81.844999999999999</v>
      </c>
      <c r="E13" s="6">
        <f t="shared" si="0"/>
        <v>10.401158913613013</v>
      </c>
      <c r="F13" s="6">
        <v>81.846000000000004</v>
      </c>
      <c r="G13" s="6">
        <f t="shared" ref="G13" si="5">(F13^2*$B$6)^(1/4)</f>
        <v>10.401222455229133</v>
      </c>
      <c r="H13" s="6">
        <v>81.816999999999993</v>
      </c>
      <c r="I13" s="6">
        <f t="shared" ref="I13" si="6">(H13^2*$B$6)^(1/4)</f>
        <v>10.399379590732982</v>
      </c>
    </row>
  </sheetData>
  <mergeCells count="5">
    <mergeCell ref="B8:C8"/>
    <mergeCell ref="D8:E8"/>
    <mergeCell ref="F8:G8"/>
    <mergeCell ref="H8:I8"/>
    <mergeCell ref="A8:A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9391-2C38-4C4E-AC64-15B0C4040C49}">
  <dimension ref="A1:J34"/>
  <sheetViews>
    <sheetView zoomScale="120" zoomScaleNormal="120" workbookViewId="0">
      <selection activeCell="C7" sqref="C7"/>
    </sheetView>
  </sheetViews>
  <sheetFormatPr defaultColWidth="11" defaultRowHeight="15.75" x14ac:dyDescent="0.25"/>
  <cols>
    <col min="8" max="10" width="11" customWidth="1"/>
  </cols>
  <sheetData>
    <row r="1" spans="1:10" x14ac:dyDescent="0.25">
      <c r="A1" t="s">
        <v>19</v>
      </c>
      <c r="B1" s="11">
        <v>70000000000</v>
      </c>
    </row>
    <row r="2" spans="1:10" x14ac:dyDescent="0.25">
      <c r="A2" t="s">
        <v>20</v>
      </c>
      <c r="B2" s="11">
        <v>380000000000</v>
      </c>
    </row>
    <row r="3" spans="1:10" x14ac:dyDescent="0.25">
      <c r="A3" t="s">
        <v>23</v>
      </c>
      <c r="B3">
        <v>2707</v>
      </c>
    </row>
    <row r="4" spans="1:10" x14ac:dyDescent="0.25">
      <c r="A4" t="s">
        <v>24</v>
      </c>
      <c r="B4">
        <v>3800</v>
      </c>
    </row>
    <row r="5" spans="1:10" x14ac:dyDescent="0.25">
      <c r="A5" t="s">
        <v>17</v>
      </c>
      <c r="B5">
        <v>0.3</v>
      </c>
    </row>
    <row r="6" spans="1:10" x14ac:dyDescent="0.25">
      <c r="A6" t="s">
        <v>18</v>
      </c>
      <c r="B6" s="21">
        <v>0.3</v>
      </c>
    </row>
    <row r="7" spans="1:10" x14ac:dyDescent="0.25">
      <c r="A7" t="s">
        <v>3</v>
      </c>
      <c r="B7">
        <v>10</v>
      </c>
    </row>
    <row r="10" spans="1:10" x14ac:dyDescent="0.25">
      <c r="A10" s="27" t="s">
        <v>16</v>
      </c>
      <c r="B10" s="27" t="s">
        <v>15</v>
      </c>
      <c r="C10" s="27" t="s">
        <v>9</v>
      </c>
      <c r="D10" s="27"/>
      <c r="E10" s="27" t="s">
        <v>10</v>
      </c>
      <c r="F10" s="27"/>
      <c r="G10" s="27" t="s">
        <v>11</v>
      </c>
      <c r="H10" s="27"/>
      <c r="I10" s="27" t="s">
        <v>12</v>
      </c>
      <c r="J10" s="27"/>
    </row>
    <row r="11" spans="1:10" x14ac:dyDescent="0.25">
      <c r="A11" s="27"/>
      <c r="B11" s="27"/>
      <c r="C11" s="15" t="s">
        <v>14</v>
      </c>
      <c r="D11" s="15" t="s">
        <v>6</v>
      </c>
      <c r="E11" s="15" t="s">
        <v>14</v>
      </c>
      <c r="F11" s="15" t="s">
        <v>6</v>
      </c>
      <c r="G11" s="15" t="s">
        <v>14</v>
      </c>
      <c r="H11" s="15" t="s">
        <v>6</v>
      </c>
      <c r="I11" s="15" t="s">
        <v>14</v>
      </c>
      <c r="J11" s="15" t="s">
        <v>6</v>
      </c>
    </row>
    <row r="12" spans="1:10" x14ac:dyDescent="0.25">
      <c r="A12" s="28">
        <v>0.05</v>
      </c>
      <c r="B12" s="18">
        <v>0</v>
      </c>
      <c r="C12" s="20">
        <v>295.99</v>
      </c>
      <c r="D12" s="22">
        <f>10*C12*$A$12*$B$7*($B$4/$B$2)^(0.5)</f>
        <v>0.14799500000000002</v>
      </c>
      <c r="E12" s="20">
        <v>296.01</v>
      </c>
      <c r="F12" s="22">
        <f>10*E12*$A$12*$B$7*($B$4/$B$2)^(0.5)</f>
        <v>0.148005</v>
      </c>
      <c r="G12" s="20">
        <v>296</v>
      </c>
      <c r="H12" s="22">
        <f>10*G12*$A$12*$B$7*($B$4/$B$2)^(0.5)</f>
        <v>0.14800000000000002</v>
      </c>
      <c r="I12" s="20">
        <v>296</v>
      </c>
      <c r="J12" s="22">
        <f>10*I12*$A$12*$B$7*($B$4/$B$2)^(0.5)</f>
        <v>0.14800000000000002</v>
      </c>
    </row>
    <row r="13" spans="1:10" x14ac:dyDescent="0.25">
      <c r="A13" s="28"/>
      <c r="B13" s="18">
        <v>1</v>
      </c>
      <c r="C13" s="20">
        <v>237.74</v>
      </c>
      <c r="D13" s="22">
        <f t="shared" ref="D13:D14" si="0">10*C13*$A$12*$B$7*($B$4/$B$2)^(0.5)</f>
        <v>0.11887</v>
      </c>
      <c r="E13" s="20">
        <v>237.75</v>
      </c>
      <c r="F13" s="22">
        <f t="shared" ref="F13:H13" si="1">10*E13*$A$12*$B$7*($B$4/$B$2)^(0.5)</f>
        <v>0.11887500000000001</v>
      </c>
      <c r="G13" s="20">
        <v>237.74</v>
      </c>
      <c r="H13" s="22">
        <f t="shared" si="1"/>
        <v>0.11887</v>
      </c>
      <c r="I13" s="20">
        <v>237.74</v>
      </c>
      <c r="J13" s="22">
        <f t="shared" ref="J13" si="2">10*I13*$A$12*$B$7*($B$4/$B$2)^(0.5)</f>
        <v>0.11887</v>
      </c>
    </row>
    <row r="14" spans="1:10" x14ac:dyDescent="0.25">
      <c r="A14" s="28"/>
      <c r="B14" s="18">
        <v>4</v>
      </c>
      <c r="C14" s="20">
        <v>211.51</v>
      </c>
      <c r="D14" s="22">
        <f t="shared" si="0"/>
        <v>0.105755</v>
      </c>
      <c r="E14" s="20">
        <v>211.49</v>
      </c>
      <c r="F14" s="22">
        <f t="shared" ref="F14:H14" si="3">10*E14*$A$12*$B$7*($B$4/$B$2)^(0.5)</f>
        <v>0.10574500000000001</v>
      </c>
      <c r="G14" s="20">
        <v>211.5</v>
      </c>
      <c r="H14" s="22">
        <f t="shared" si="3"/>
        <v>0.10575000000000001</v>
      </c>
      <c r="I14" s="20">
        <v>211.52</v>
      </c>
      <c r="J14" s="22">
        <f t="shared" ref="J14" si="4">10*I14*$A$12*$B$7*($B$4/$B$2)^(0.5)</f>
        <v>0.10576000000000002</v>
      </c>
    </row>
    <row r="15" spans="1:10" x14ac:dyDescent="0.25">
      <c r="A15" s="28">
        <v>0.1</v>
      </c>
      <c r="B15" s="18">
        <v>0</v>
      </c>
      <c r="C15" s="20">
        <v>596.94000000000005</v>
      </c>
      <c r="D15" s="22">
        <f>10*C15*$A$15*$B$7*($B$4/$B$2)^(0.5)</f>
        <v>0.59694000000000014</v>
      </c>
      <c r="E15" s="20">
        <v>577.04</v>
      </c>
      <c r="F15" s="22">
        <f>10*E15*$A$15*$B$7*($B$4/$B$2)^(0.5)</f>
        <v>0.57704</v>
      </c>
      <c r="G15" s="20">
        <v>576.97</v>
      </c>
      <c r="H15" s="22">
        <f>10*G15*$A$15*$B$7*($B$4/$B$2)^(0.5)</f>
        <v>0.5769700000000002</v>
      </c>
      <c r="I15" s="20">
        <v>576.95000000000005</v>
      </c>
      <c r="J15" s="22">
        <f>10*I15*$A$15*$B$7*($B$4/$B$2)^(0.5)</f>
        <v>0.57695000000000007</v>
      </c>
    </row>
    <row r="16" spans="1:10" x14ac:dyDescent="0.25">
      <c r="A16" s="28"/>
      <c r="B16" s="18">
        <v>1</v>
      </c>
      <c r="C16" s="20">
        <v>463.99</v>
      </c>
      <c r="D16" s="22">
        <f t="shared" ref="D16:D17" si="5">10*C16*$A$15*$B$7*($B$4/$B$2)^(0.5)</f>
        <v>0.46399000000000001</v>
      </c>
      <c r="E16" s="20">
        <v>464.06</v>
      </c>
      <c r="F16" s="22">
        <f t="shared" ref="F16:H16" si="6">10*E16*$A$15*$B$7*($B$4/$B$2)^(0.5)</f>
        <v>0.46406000000000008</v>
      </c>
      <c r="G16" s="20">
        <v>464</v>
      </c>
      <c r="H16" s="22">
        <f t="shared" si="6"/>
        <v>0.46400000000000002</v>
      </c>
      <c r="I16" s="20">
        <v>463.99</v>
      </c>
      <c r="J16" s="22">
        <f t="shared" ref="J16" si="7">10*I16*$A$15*$B$7*($B$4/$B$2)^(0.5)</f>
        <v>0.46399000000000001</v>
      </c>
    </row>
    <row r="17" spans="1:10" x14ac:dyDescent="0.25">
      <c r="A17" s="28"/>
      <c r="B17" s="18">
        <v>4</v>
      </c>
      <c r="C17" s="20">
        <v>409.52</v>
      </c>
      <c r="D17" s="22">
        <f t="shared" si="5"/>
        <v>0.40952</v>
      </c>
      <c r="E17" s="20">
        <v>409.36</v>
      </c>
      <c r="F17" s="22">
        <f t="shared" ref="F17:H17" si="8">10*E17*$A$15*$B$7*($B$4/$B$2)^(0.5)</f>
        <v>0.40936000000000011</v>
      </c>
      <c r="G17" s="20">
        <v>409.42</v>
      </c>
      <c r="H17" s="22">
        <f t="shared" si="8"/>
        <v>0.40942000000000012</v>
      </c>
      <c r="I17" s="20">
        <v>4.0952999999999999</v>
      </c>
      <c r="J17" s="22">
        <f t="shared" ref="J17" si="9">10*I17*$A$15*$B$7*($B$4/$B$2)^(0.5)</f>
        <v>4.0953000000000014E-3</v>
      </c>
    </row>
    <row r="18" spans="1:10" x14ac:dyDescent="0.25">
      <c r="A18" s="28">
        <v>0.2</v>
      </c>
      <c r="B18" s="18">
        <v>0</v>
      </c>
      <c r="C18" s="20">
        <v>105.63</v>
      </c>
      <c r="D18" s="22">
        <f>10*C18*$A$18*$B$7*($B$4/$B$2)^(0.5)</f>
        <v>0.21126</v>
      </c>
      <c r="E18" s="20">
        <v>105.69</v>
      </c>
      <c r="F18" s="22">
        <f>10*E18*$A$18*$B$7*($B$4/$B$2)^(0.5)</f>
        <v>0.21138000000000004</v>
      </c>
      <c r="G18" s="20">
        <v>105.64</v>
      </c>
      <c r="H18" s="22">
        <f>10*G18*$A$18*$B$7*($B$4/$B$2)^(0.5)</f>
        <v>0.21128000000000002</v>
      </c>
      <c r="I18" s="20">
        <v>105.63</v>
      </c>
      <c r="J18" s="22">
        <f>10*I18*$A$18*$B$7*($B$4/$B$2)^(0.5)</f>
        <v>0.21126</v>
      </c>
    </row>
    <row r="19" spans="1:10" x14ac:dyDescent="0.25">
      <c r="A19" s="28"/>
      <c r="B19" s="18">
        <v>1</v>
      </c>
      <c r="C19" s="20">
        <v>8.5282999999999998</v>
      </c>
      <c r="D19" s="22">
        <f t="shared" ref="D19:D20" si="10">10*C19*$A$18*$B$7*($B$4/$B$2)^(0.5)</f>
        <v>1.7056600000000002E-2</v>
      </c>
      <c r="E19" s="20">
        <v>853.32</v>
      </c>
      <c r="F19" s="22">
        <f t="shared" ref="F19:H19" si="11">10*E19*$A$18*$B$7*($B$4/$B$2)^(0.5)</f>
        <v>1.7066400000000002</v>
      </c>
      <c r="G19" s="20">
        <v>852.97</v>
      </c>
      <c r="H19" s="22">
        <f t="shared" si="11"/>
        <v>1.7059400000000002</v>
      </c>
      <c r="I19" s="20">
        <v>852.83</v>
      </c>
      <c r="J19" s="22">
        <f t="shared" ref="J19" si="12">10*I19*$A$18*$B$7*($B$4/$B$2)^(0.5)</f>
        <v>1.7056600000000004</v>
      </c>
    </row>
    <row r="20" spans="1:10" x14ac:dyDescent="0.25">
      <c r="A20" s="28"/>
      <c r="B20" s="18">
        <v>4</v>
      </c>
      <c r="C20" s="20">
        <v>735.22</v>
      </c>
      <c r="D20" s="22">
        <f t="shared" si="10"/>
        <v>1.4704400000000004</v>
      </c>
      <c r="E20" s="20">
        <v>734.47</v>
      </c>
      <c r="F20" s="22">
        <f t="shared" ref="F20:H20" si="13">10*E20*$A$18*$B$7*($B$4/$B$2)^(0.5)</f>
        <v>1.4689400000000004</v>
      </c>
      <c r="G20" s="20">
        <v>734.7</v>
      </c>
      <c r="H20" s="22">
        <f t="shared" si="13"/>
        <v>1.4694</v>
      </c>
      <c r="I20" s="20">
        <v>735.29</v>
      </c>
      <c r="J20" s="22">
        <f t="shared" ref="J20" si="14">10*I20*$A$18*$B$7*($B$4/$B$2)^(0.5)</f>
        <v>1.47058</v>
      </c>
    </row>
    <row r="22" spans="1:10" x14ac:dyDescent="0.25">
      <c r="C22" s="12"/>
      <c r="E22" s="12"/>
      <c r="G22" s="12"/>
      <c r="I22" s="12"/>
    </row>
    <row r="23" spans="1:10" x14ac:dyDescent="0.25">
      <c r="C23" s="12"/>
      <c r="E23" s="12"/>
      <c r="G23" s="12"/>
      <c r="I23" s="12"/>
    </row>
    <row r="24" spans="1:10" x14ac:dyDescent="0.25">
      <c r="C24" s="12"/>
      <c r="E24" s="12"/>
      <c r="G24" s="12"/>
      <c r="I24" s="12"/>
    </row>
    <row r="25" spans="1:10" x14ac:dyDescent="0.25">
      <c r="C25" s="12"/>
      <c r="E25" s="12"/>
      <c r="G25" s="12"/>
      <c r="I25" s="12"/>
    </row>
    <row r="26" spans="1:10" x14ac:dyDescent="0.25">
      <c r="C26" s="12"/>
      <c r="E26" s="12"/>
      <c r="G26" s="12"/>
      <c r="I26" s="12"/>
    </row>
    <row r="27" spans="1:10" x14ac:dyDescent="0.25">
      <c r="C27" s="12"/>
      <c r="E27" s="12"/>
      <c r="G27" s="12"/>
      <c r="I27" s="12"/>
    </row>
    <row r="28" spans="1:10" x14ac:dyDescent="0.25">
      <c r="C28" s="12"/>
      <c r="E28" s="12"/>
      <c r="G28" s="12"/>
      <c r="I28" s="12"/>
    </row>
    <row r="29" spans="1:10" x14ac:dyDescent="0.25">
      <c r="C29" s="12"/>
      <c r="E29" s="12"/>
      <c r="G29" s="12"/>
      <c r="I29" s="12"/>
    </row>
    <row r="30" spans="1:10" x14ac:dyDescent="0.25">
      <c r="C30" s="12"/>
      <c r="E30" s="12"/>
      <c r="G30" s="12"/>
      <c r="I30" s="12"/>
    </row>
    <row r="31" spans="1:10" x14ac:dyDescent="0.25">
      <c r="C31" s="12"/>
    </row>
    <row r="32" spans="1:10" x14ac:dyDescent="0.25">
      <c r="C32" s="12"/>
    </row>
    <row r="33" spans="3:3" x14ac:dyDescent="0.25">
      <c r="C33" s="12"/>
    </row>
    <row r="34" spans="3:3" x14ac:dyDescent="0.25">
      <c r="C34" s="12"/>
    </row>
  </sheetData>
  <mergeCells count="9">
    <mergeCell ref="A12:A14"/>
    <mergeCell ref="A18:A20"/>
    <mergeCell ref="A15:A17"/>
    <mergeCell ref="G10:H10"/>
    <mergeCell ref="I10:J10"/>
    <mergeCell ref="A10:A11"/>
    <mergeCell ref="B10:B11"/>
    <mergeCell ref="E10:F10"/>
    <mergeCell ref="C10:D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Isotropic</vt:lpstr>
      <vt:lpstr>FGMSquarePlate</vt:lpstr>
      <vt:lpstr>FGMCircularPlate</vt:lpstr>
      <vt:lpstr>IsoFreq</vt:lpstr>
      <vt:lpstr>FGMFreq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</dc:creator>
  <cp:lastModifiedBy>Pedro Ygor Rodrigues Mesquita</cp:lastModifiedBy>
  <dcterms:created xsi:type="dcterms:W3CDTF">2024-02-16T17:28:37Z</dcterms:created>
  <dcterms:modified xsi:type="dcterms:W3CDTF">2024-02-17T19:03:51Z</dcterms:modified>
</cp:coreProperties>
</file>